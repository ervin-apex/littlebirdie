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Apex\Little Birdie\docs\testing\results\"/>
    </mc:Choice>
  </mc:AlternateContent>
  <xr:revisionPtr revIDLastSave="0" documentId="13_ncr:1_{A2508BF2-E9F3-47B4-9A27-AEBF26BC38FF}" xr6:coauthVersionLast="47" xr6:coauthVersionMax="47" xr10:uidLastSave="{00000000-0000-0000-0000-000000000000}"/>
  <bookViews>
    <workbookView xWindow="-120" yWindow="-120" windowWidth="29040" windowHeight="15840" firstSheet="10" activeTab="15" xr2:uid="{00000000-000D-0000-FFFF-FFFF00000000}"/>
  </bookViews>
  <sheets>
    <sheet name="Summary" sheetId="1" r:id="rId1"/>
    <sheet name="Test Results" sheetId="2" r:id="rId2"/>
    <sheet name="Defects" sheetId="3" r:id="rId3"/>
    <sheet name="Journey Summary" sheetId="4" r:id="rId4"/>
    <sheet name="Journey Results" sheetId="5" r:id="rId5"/>
    <sheet name="Journey Defects" sheetId="6" r:id="rId6"/>
    <sheet name="DB Evidence" sheetId="7" r:id="rId7"/>
    <sheet name="Complex Summary" sheetId="8" r:id="rId8"/>
    <sheet name="Complex Results" sheetId="9" r:id="rId9"/>
    <sheet name="Complex DB Evidence" sheetId="10" r:id="rId10"/>
    <sheet name="Multi Venue Results" sheetId="11" r:id="rId11"/>
    <sheet name="Multi Venue Summary" sheetId="12" r:id="rId12"/>
    <sheet name="Multi Venue Evidence" sheetId="13" r:id="rId13"/>
    <sheet name="Deferred Manual" sheetId="14" r:id="rId14"/>
    <sheet name="Batch E Results" sheetId="15" r:id="rId15"/>
    <sheet name="Manual Test Checklist"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2" l="1"/>
  <c r="B11" i="12"/>
  <c r="B10" i="12"/>
  <c r="B9" i="12"/>
  <c r="D8" i="8"/>
  <c r="B12" i="4"/>
  <c r="B11" i="4"/>
  <c r="B10" i="4"/>
  <c r="G9" i="4" s="1"/>
  <c r="B9" i="4"/>
  <c r="E11" i="1"/>
  <c r="B11" i="1"/>
  <c r="E10" i="1"/>
  <c r="B10" i="1"/>
  <c r="E9" i="1"/>
  <c r="B9" i="1"/>
  <c r="E8" i="1"/>
  <c r="B8" i="1"/>
</calcChain>
</file>

<file path=xl/sharedStrings.xml><?xml version="1.0" encoding="utf-8"?>
<sst xmlns="http://schemas.openxmlformats.org/spreadsheetml/2006/main" count="2199" uniqueCount="1280">
  <si>
    <t>Little Birdee - Group 1 easy browser retest</t>
  </si>
  <si>
    <t>Run date</t>
  </si>
  <si>
    <t>29 July 2026</t>
  </si>
  <si>
    <t>Local validation</t>
  </si>
  <si>
    <t>TypeScript PASS; Vitest 72/72 PASS</t>
  </si>
  <si>
    <t>Base URL</t>
  </si>
  <si>
    <t>http://localhost:3001</t>
  </si>
  <si>
    <t>Journey retest</t>
  </si>
  <si>
    <t>S-03 through S-12 now pass</t>
  </si>
  <si>
    <t>Execution</t>
  </si>
  <si>
    <t>Five Chrome subagents plus root verification</t>
  </si>
  <si>
    <t>Remaining prerequisite</t>
  </si>
  <si>
    <t>None for the current journey batch</t>
  </si>
  <si>
    <t>Retest results</t>
  </si>
  <si>
    <t>Defect status</t>
  </si>
  <si>
    <t>Run decision</t>
  </si>
  <si>
    <t>PASS</t>
  </si>
  <si>
    <t>Resolved</t>
  </si>
  <si>
    <t>EASY AUTH PASS
ALL JOURNEY TESTS PASSED</t>
  </si>
  <si>
    <t>FAIL</t>
  </si>
  <si>
    <t>Reclassified</t>
  </si>
  <si>
    <t>BLOCKED</t>
  </si>
  <si>
    <t>Open</t>
  </si>
  <si>
    <t>TOTAL</t>
  </si>
  <si>
    <t>Total</t>
  </si>
  <si>
    <t>What changed and what remains</t>
  </si>
  <si>
    <t>Priority</t>
  </si>
  <si>
    <t>Area</t>
  </si>
  <si>
    <t>Outcome</t>
  </si>
  <si>
    <t>Evidence</t>
  </si>
  <si>
    <t>State</t>
  </si>
  <si>
    <t>Owner</t>
  </si>
  <si>
    <t>Next action</t>
  </si>
  <si>
    <t>Sign-off impact</t>
  </si>
  <si>
    <t>P0</t>
  </si>
  <si>
    <t>Signup/reset validation</t>
  </si>
  <si>
    <t>Short passwords are blocked locally.</t>
  </si>
  <si>
    <t>Zero auth requests for five-character test.</t>
  </si>
  <si>
    <t>Frontend</t>
  </si>
  <si>
    <t>None for easy wave.</t>
  </si>
  <si>
    <t>Cleared</t>
  </si>
  <si>
    <t>P1</t>
  </si>
  <si>
    <t>Auth mode navigation</t>
  </si>
  <si>
    <t>Top, bottom, and keyboard mode changes pass.</t>
  </si>
  <si>
    <t>Fresh-tab click and key assertions.</t>
  </si>
  <si>
    <t>Continue complex UAT.</t>
  </si>
  <si>
    <t>Birdee eye/blink</t>
  </si>
  <si>
    <t>Eye matches the reference proportions; blink is subtle.</t>
  </si>
  <si>
    <t>Large and mobile measurements.</t>
  </si>
  <si>
    <t>Design/frontend</t>
  </si>
  <si>
    <t>Observe on real devices later.</t>
  </si>
  <si>
    <t>P2</t>
  </si>
  <si>
    <t>Responsive/touch UI</t>
  </si>
  <si>
    <t>Clipping, overflow, and 44 px targets pass.</t>
  </si>
  <si>
    <t>1024, 768, 390x844, 390x700.</t>
  </si>
  <si>
    <t>Real mobile keyboard check later.</t>
  </si>
  <si>
    <t>Google unavailable state</t>
  </si>
  <si>
    <t>Disabled provider is explicit and non-clickable.</t>
  </si>
  <si>
    <t>Settings check plus fresh browser test.</t>
  </si>
  <si>
    <t>Auth config</t>
  </si>
  <si>
    <t>Activate Google only when credentials/domain exist.</t>
  </si>
  <si>
    <t>No block</t>
  </si>
  <si>
    <t>Reset email delivery</t>
  </si>
  <si>
    <t>Full registered-user recovery flow passes.</t>
  </si>
  <si>
    <t>Email, callback, update, and fresh login.</t>
  </si>
  <si>
    <t>QA/Auth</t>
  </si>
  <si>
    <t>Retain the confirmed test identity for regression.</t>
  </si>
  <si>
    <t>Easy-wave conclusion: all 19 recorded checks now pass. The password-reset path was verified end to end with a confirmed test identity: email delivery, recovery callback, password update, signed-out login, and final logout. P-03 remains recorded as product-owner PASS. This workbook does not replace the remaining complex Group 1 acceptance cases.</t>
  </si>
  <si>
    <t>Detailed retest results</t>
  </si>
  <si>
    <t>Fresh Chrome tabs were required after HMR changes. PASS/FAIL/BLOCKED reflect product behavior; extension noise and test prerequisites are separated from application defects.</t>
  </si>
  <si>
    <t>Run ID</t>
  </si>
  <si>
    <t>Agent</t>
  </si>
  <si>
    <t>Test ID</t>
  </si>
  <si>
    <t>Result</t>
  </si>
  <si>
    <t>Device</t>
  </si>
  <si>
    <t>Viewport</t>
  </si>
  <si>
    <t>URL</t>
  </si>
  <si>
    <t>Expected</t>
  </si>
  <si>
    <t>Actual</t>
  </si>
  <si>
    <t>Console / Network</t>
  </si>
  <si>
    <t>Refresh Repro</t>
  </si>
  <si>
    <t>Severity</t>
  </si>
  <si>
    <t>Major Blocker</t>
  </si>
  <si>
    <t>Account Used</t>
  </si>
  <si>
    <t>Notes</t>
  </si>
  <si>
    <t>RETEST-001</t>
  </si>
  <si>
    <t>preflight_security_easy</t>
  </si>
  <si>
    <t>P-01</t>
  </si>
  <si>
    <t>Preflight</t>
  </si>
  <si>
    <t>Large desktop</t>
  </si>
  <si>
    <t>Chrome / fresh tab</t>
  </si>
  <si>
    <t>/</t>
  </si>
  <si>
    <t>Signed-out auth gateway loads without app runtime errors or prior customer data.</t>
  </si>
  <si>
    <t>Fresh rerun showed the auth gateway only; no app hydration/runtime error and no customer data.</t>
  </si>
  <si>
    <t>Console and settled DOM.</t>
  </si>
  <si>
    <t>Only unrelated extension noise.</t>
  </si>
  <si>
    <t>Yes</t>
  </si>
  <si>
    <t>None</t>
  </si>
  <si>
    <t>No</t>
  </si>
  <si>
    <t>Earlier LastPass hydration warning did not reproduce as an app defect.</t>
  </si>
  <si>
    <t>P-02</t>
  </si>
  <si>
    <t>Route protection</t>
  </si>
  <si>
    <t>/onboarding, /setup, /app, /account</t>
  </si>
  <si>
    <t>All protected routes settle at login without protected content.</t>
  </si>
  <si>
    <t>All four routes settled at /auth?mode=login; protected content was absent.</t>
  </si>
  <si>
    <t>URLs and settled DOM.</t>
  </si>
  <si>
    <t>No app error.</t>
  </si>
  <si>
    <t>No protected data observed.</t>
  </si>
  <si>
    <t>Product owner</t>
  </si>
  <si>
    <t>P-03</t>
  </si>
  <si>
    <t>API protection</t>
  </si>
  <si>
    <t>Manual check</t>
  </si>
  <si>
    <t>/api/venue-state</t>
  </si>
  <si>
    <t>Signed-out request returns 401 with no venue data.</t>
  </si>
  <si>
    <t>Product owner independently checked P-03 and signed it off as passing.</t>
  </si>
  <si>
    <t>User-confirmed result.</t>
  </si>
  <si>
    <t>Not reissued by agents.</t>
  </si>
  <si>
    <t>N/A</t>
  </si>
  <si>
    <t>Recorded as product-owner confirmation.</t>
  </si>
  <si>
    <t>RETEST-002</t>
  </si>
  <si>
    <t>auth_validation_large</t>
  </si>
  <si>
    <t>S-01</t>
  </si>
  <si>
    <t>Auth entry</t>
  </si>
  <si>
    <t>1440x900</t>
  </si>
  <si>
    <t>/auth?mode=signup and login</t>
  </si>
  <si>
    <t>Top tabs and footer switches work in both directions and keep URL, selected tab, focus, and panel synchronized.</t>
  </si>
  <si>
    <t>All click paths passed in a fresh tab; signup and login panels matched their URLs.</t>
  </si>
  <si>
    <t>Fresh-tab DOM and URL assertions.</t>
  </si>
  <si>
    <t>No app warning/error.</t>
  </si>
  <si>
    <t>A stale HMR tab exposed a transient regression during development; the fresh-tab retest is green.</t>
  </si>
  <si>
    <t>E-15</t>
  </si>
  <si>
    <t>Keyboard activation</t>
  </si>
  <si>
    <t>ArrowLeft, ArrowRight, Home, and End move both selection and focus.</t>
  </si>
  <si>
    <t>Every key kept focus, selected tab, URL, and panel synchronized.</t>
  </si>
  <si>
    <t>activeElement, aria-selected, URL, and heading.</t>
  </si>
  <si>
    <t>Panel animation is suppressed for keyboard tab changes.</t>
  </si>
  <si>
    <t>BIRD-01</t>
  </si>
  <si>
    <t>Mascot UI</t>
  </si>
  <si>
    <t>/auth</t>
  </si>
  <si>
    <t>Birdee's eye looks proportionate and does not bulge outside the reference silhouette.</t>
  </si>
  <si>
    <t>Eye measured about 24x25 px and pupil about 14x14 px within a 216 px mascot; no protrusion was visible.</t>
  </si>
  <si>
    <t>Bounding boxes and screenshot inspection.</t>
  </si>
  <si>
    <t>Blink remains brief and occasional.</t>
  </si>
  <si>
    <t>RETEST-003</t>
  </si>
  <si>
    <t>auth_medium_keyboard</t>
  </si>
  <si>
    <t>S-02</t>
  </si>
  <si>
    <t>Signup validation</t>
  </si>
  <si>
    <t>Medium desktop</t>
  </si>
  <si>
    <t>1024x768</t>
  </si>
  <si>
    <t>/auth?mode=signup</t>
  </si>
  <si>
    <t>Passwords under eight characters are rejected locally with no auth request.</t>
  </si>
  <si>
    <t>A five-character password showed the eight-character message and sent zero auth requests.</t>
  </si>
  <si>
    <t>Alert copy and network request count.</t>
  </si>
  <si>
    <t>Zero auth requests.</t>
  </si>
  <si>
    <t>UI, minLength, and submit guard now agree.</t>
  </si>
  <si>
    <t>RESP-MED-01</t>
  </si>
  <si>
    <t>Responsive UI</t>
  </si>
  <si>
    <t>Birdee remains fully visible within the viewport.</t>
  </si>
  <si>
    <t>Mascot was fully visible with no top clipping.</t>
  </si>
  <si>
    <t>Screenshot and bounding rectangle.</t>
  </si>
  <si>
    <t>Low-height mascot sizing was clamped.</t>
  </si>
  <si>
    <t>RESP-MED-02</t>
  </si>
  <si>
    <t>Small desktop/tablet</t>
  </si>
  <si>
    <t>768x900</t>
  </si>
  <si>
    <t>No horizontal scrolling.</t>
  </si>
  <si>
    <t>scrollWidth equaled innerWidth at 768 px.</t>
  </si>
  <si>
    <t>DOM measurements.</t>
  </si>
  <si>
    <t>Responsive grid no longer contributes the previous 2 px overflow.</t>
  </si>
  <si>
    <t>RETEST-004</t>
  </si>
  <si>
    <t>auth_mobile_easy</t>
  </si>
  <si>
    <t>E-13</t>
  </si>
  <si>
    <t>Mobile auth</t>
  </si>
  <si>
    <t>Mobile</t>
  </si>
  <si>
    <t>390x844</t>
  </si>
  <si>
    <t>Signup and login</t>
  </si>
  <si>
    <t>No horizontal overflow; mode controls work both ways; relevant switch targets are at least 44 px.</t>
  </si>
  <si>
    <t>No overflow, top and bottom switches worked, and the final fresh-tab remeasure met the 44 px target.</t>
  </si>
  <si>
    <t>DOM widths, target rectangles, and navigation assertions.</t>
  </si>
  <si>
    <t>Primary fields remain 48 px high.</t>
  </si>
  <si>
    <t>E-14</t>
  </si>
  <si>
    <t>Short mobile auth</t>
  </si>
  <si>
    <t>Short mobile</t>
  </si>
  <si>
    <t>390x700</t>
  </si>
  <si>
    <t>Content scrolls without fixed overlap; controls remain reachable and at least 44 px.</t>
  </si>
  <si>
    <t>No overflow or overlap; controls remained reachable and met the final target after remeasure.</t>
  </si>
  <si>
    <t>DOM widths, target rectangles, and screenshot inspection.</t>
  </si>
  <si>
    <t>Virtual-keyboard behavior remains a manual-device follow-up.</t>
  </si>
  <si>
    <t>Mobile signup validation</t>
  </si>
  <si>
    <t>390x844 and 390x700</t>
  </si>
  <si>
    <t>Short passwords are blocked locally and all form actions remain reachable.</t>
  </si>
  <si>
    <t>Five-character password produced local guidance and zero auth network requests.</t>
  </si>
  <si>
    <t>Alert, network count, and mobile layouts.</t>
  </si>
  <si>
    <t>No account was created.</t>
  </si>
  <si>
    <t>Mobile route protection</t>
  </si>
  <si>
    <t>Protected routes</t>
  </si>
  <si>
    <t>Signed-out protected routes end at login.</t>
  </si>
  <si>
    <t>Protected routes settled at /auth?mode=login with no protected content.</t>
  </si>
  <si>
    <t>Rechecked in the mobile wave.</t>
  </si>
  <si>
    <t>BIRD-02</t>
  </si>
  <si>
    <t>Mobile mascot UI</t>
  </si>
  <si>
    <t>Eye remains restrained and blink is subtle.</t>
  </si>
  <si>
    <t>Eye was about 13x13 px with an 8x8 px pupil on a 116 px mascot; the brief blink state was observed.</t>
  </si>
  <si>
    <t>Bounding boxes, screenshot, and blink attribute.</t>
  </si>
  <si>
    <t>Cursor-following remains intentionally absent; blink is reduced-motion safe.</t>
  </si>
  <si>
    <t>RETEST-005</t>
  </si>
  <si>
    <t>google_email_easy</t>
  </si>
  <si>
    <t>P-04</t>
  </si>
  <si>
    <t>Google provider</t>
  </si>
  <si>
    <t>Fresh Chrome tab</t>
  </si>
  <si>
    <t>Disabled Google provider is clearly unavailable and non-clickable.</t>
  </si>
  <si>
    <t>Control settled from Checking Google to disabled Google sign-in coming soon; no consent flow could open.</t>
  </si>
  <si>
    <t>Disabled-state locator and DOM.</t>
  </si>
  <si>
    <t>No app-specific error.</t>
  </si>
  <si>
    <t>This is clear launch-state communication, not active Google OAuth.</t>
  </si>
  <si>
    <t>A-03-UX</t>
  </si>
  <si>
    <t>Password reset UX</t>
  </si>
  <si>
    <t>/auth/forgot-password</t>
  </si>
  <si>
    <t>Submission uses privacy-safe copy that does not reveal account existence.</t>
  </si>
  <si>
    <t>One authorized submission showed the generic account-safe confirmation and return-to-login navigation worked.</t>
  </si>
  <si>
    <t>Confirmation heading/copy and URL checks.</t>
  </si>
  <si>
    <t>One send</t>
  </si>
  <si>
    <t>ervinpelonio@gmail.com</t>
  </si>
  <si>
    <t>No account was created or modified.</t>
  </si>
  <si>
    <t>Root + Gmail verification</t>
  </si>
  <si>
    <t>A-03-MAIL</t>
  </si>
  <si>
    <t>Password reset delivery</t>
  </si>
  <si>
    <t>A registered user receives one recovery email, reaches the reset form, changes the password, and can log in with it.</t>
  </si>
  <si>
    <t>The recovery email arrived, its link reached /auth/reset-password, the new password saved, and a signed-out password login returned to onboarding.</t>
  </si>
  <si>
    <t>Gmail message, Supabase mail.send/recovery/login logs, callback URL, and fresh login.</t>
  </si>
  <si>
    <t>No app error; /recover, recovery token exchange, password update, and later password login returned success.</t>
  </si>
  <si>
    <t>The test identity remains confirmed and signed out after completion.</t>
  </si>
  <si>
    <t>RETEST-006</t>
  </si>
  <si>
    <t>Root verification</t>
  </si>
  <si>
    <t>DOC-01</t>
  </si>
  <si>
    <t>Test documentation</t>
  </si>
  <si>
    <t>All</t>
  </si>
  <si>
    <t>Group 1 UAT reflects localhost:3001 and the unified auth routes/copy.</t>
  </si>
  <si>
    <t>Port, login/signup routes, disabled-Google wording, and gateway procedures were updated.</t>
  </si>
  <si>
    <t>Markdown search for stale auth routes/port.</t>
  </si>
  <si>
    <t>Google activation checklist was updated to port 3001 as well.</t>
  </si>
  <si>
    <t>BUILD-01</t>
  </si>
  <si>
    <t>Local</t>
  </si>
  <si>
    <t>TypeScript and Vitest</t>
  </si>
  <si>
    <t>Repository type-checks and tests pass after fixes.</t>
  </si>
  <si>
    <t>TypeScript passed and 12 test files / 70 tests passed.</t>
  </si>
  <si>
    <t>Command output.</t>
  </si>
  <si>
    <t>Production compilation succeeded; page-data collection was invalidated by two concurrent dev servers sharing .next.</t>
  </si>
  <si>
    <t>The cache was rebuilt and one clean localhost:3001 server was restored and returned HTTP 200.</t>
  </si>
  <si>
    <t>Defect disposition after retest</t>
  </si>
  <si>
    <t>All original agent findings are retained here with their final disposition. Reclassified means the original observation was valid but was not an application defect.</t>
  </si>
  <si>
    <t>Defect ID</t>
  </si>
  <si>
    <t>Linked Tests</t>
  </si>
  <si>
    <t>Status</t>
  </si>
  <si>
    <t>Category</t>
  </si>
  <si>
    <t>Original finding</t>
  </si>
  <si>
    <t>Fix / decision</t>
  </si>
  <si>
    <t>Retest evidence</t>
  </si>
  <si>
    <t>Owner / Next Step</t>
  </si>
  <si>
    <t>DEF-001</t>
  </si>
  <si>
    <t>Auth validation</t>
  </si>
  <si>
    <t>Password policy mismatch and server-bound short-password requests.</t>
  </si>
  <si>
    <t>Explicit eight-character submit guard added to signup and reset forms.</t>
  </si>
  <si>
    <t>Five-character password is rejected locally with zero auth requests.</t>
  </si>
  <si>
    <t>Closed</t>
  </si>
  <si>
    <t>DEF-002</t>
  </si>
  <si>
    <t>A-03</t>
  </si>
  <si>
    <t>Email delivery acceptance</t>
  </si>
  <si>
    <t>UI success was previously interpreted as proof that an email should arrive for an unregistered address.</t>
  </si>
  <si>
    <t>A confirmed test identity was created and the full registered-user recovery path was executed.</t>
  </si>
  <si>
    <t>Recovery email, callback, password update, and a fresh password login all passed.</t>
  </si>
  <si>
    <t>DEF-003</t>
  </si>
  <si>
    <t>Accessibility</t>
  </si>
  <si>
    <t>Arrow-key selection did not move tab focus.</t>
  </si>
  <si>
    <t>Roving focus and Home/End support implemented.</t>
  </si>
  <si>
    <t>All four keys synchronize focus, selection, URL, and panel.</t>
  </si>
  <si>
    <t>DEF-004</t>
  </si>
  <si>
    <t>Birdee clipped above the viewport at 1024x768.</t>
  </si>
  <si>
    <t>Low-height mascot dimensions and position were clamped.</t>
  </si>
  <si>
    <t>Fresh 1024x768 retest shows the full mascot.</t>
  </si>
  <si>
    <t>DEF-005</t>
  </si>
  <si>
    <t>Two-pixel horizontal overflow at 768x900.</t>
  </si>
  <si>
    <t>Auth grid min-width was corrected.</t>
  </si>
  <si>
    <t>scrollWidth equals innerWidth at 768 px.</t>
  </si>
  <si>
    <t>DEF-006</t>
  </si>
  <si>
    <t>E-13, E-14</t>
  </si>
  <si>
    <t>Mobile usability</t>
  </si>
  <si>
    <t>Secondary links and account-mode tabs had undersized touch areas.</t>
  </si>
  <si>
    <t>Footer switches were enlarged and top tabs now use a 44 px minimum height.</t>
  </si>
  <si>
    <t>Fresh mobile retest meets the 44 px target.</t>
  </si>
  <si>
    <t>DEF-007</t>
  </si>
  <si>
    <t>Provider affordance</t>
  </si>
  <si>
    <t>Google looked available while the provider was disabled.</t>
  </si>
  <si>
    <t>Provider settings are checked before interaction; unavailable state is disabled and explicit.</t>
  </si>
  <si>
    <t>Fresh rerun shows disabled Google sign-in coming soon.</t>
  </si>
  <si>
    <t>DEF-008</t>
  </si>
  <si>
    <t>Closed - environment</t>
  </si>
  <si>
    <t>Browser environment</t>
  </si>
  <si>
    <t>Extension injection produced a hydration warning in the first run.</t>
  </si>
  <si>
    <t>Rerun in a fresh tab and separate extension noise from app errors.</t>
  </si>
  <si>
    <t>The app-specific hydration problem did not reproduce.</t>
  </si>
  <si>
    <t>DEF-009</t>
  </si>
  <si>
    <t>P3</t>
  </si>
  <si>
    <t>Documentation</t>
  </si>
  <si>
    <t>Group 1 UAT used port 3000 and retired standalone auth routes/copy.</t>
  </si>
  <si>
    <t>Updated to port 3001 and the unified /auth?mode=signup|login gateway.</t>
  </si>
  <si>
    <t>Stale-route search is clean in the two current Group 1 auth documents.</t>
  </si>
  <si>
    <t>DEF-010</t>
  </si>
  <si>
    <t>API protection evidence</t>
  </si>
  <si>
    <t>Chrome extension previously blocked the agent's direct endpoint check.</t>
  </si>
  <si>
    <t>Product owner independently executed P-03.</t>
  </si>
  <si>
    <t>User confirmed P-03 passes.</t>
  </si>
  <si>
    <t>DEF-011</t>
  </si>
  <si>
    <t>Auth navigation regression</t>
  </si>
  <si>
    <t>A stale development tab briefly stopped mode switches during the fix pass.</t>
  </si>
  <si>
    <t>Controls now combine real links with explicit state switching; retest used a fresh tab.</t>
  </si>
  <si>
    <t>Top, bottom, and keyboard paths all pass in both directions.</t>
  </si>
  <si>
    <t>DEF-012</t>
  </si>
  <si>
    <t>BIRD-01, BIRD-02</t>
  </si>
  <si>
    <t>Login Birdee's eye looked bulging and creepy.</t>
  </si>
  <si>
    <t>Eye and pupil were reduced, flattened, and aligned to the reference silhouette.</t>
  </si>
  <si>
    <t>Large and mobile agents report proportionate eyes with no protrusion.</t>
  </si>
  <si>
    <t>Little Birdee - Group 1 account-to-first-plan journey</t>
  </si>
  <si>
    <t>Account</t>
  </si>
  <si>
    <t>Implementation validation</t>
  </si>
  <si>
    <t>Business / venue</t>
  </si>
  <si>
    <t>North Star Café / Surry Hills</t>
  </si>
  <si>
    <t>Vitest</t>
  </si>
  <si>
    <t>72/72 PASS</t>
  </si>
  <si>
    <t>Root-controlled fix and authenticated Chrome retest</t>
  </si>
  <si>
    <t>Stored plan</t>
  </si>
  <si>
    <t>Dataset A; one locked plan; seven day rows</t>
  </si>
  <si>
    <t>TypeScript</t>
  </si>
  <si>
    <t>Stop rule</t>
  </si>
  <si>
    <t>Stop only if a new major blocker appears</t>
  </si>
  <si>
    <t>S-03 through S-12 pass after the completed retest</t>
  </si>
  <si>
    <t>Production build</t>
  </si>
  <si>
    <t>Local server</t>
  </si>
  <si>
    <t>Restored on :3001</t>
  </si>
  <si>
    <t>Journey results</t>
  </si>
  <si>
    <t>Persistence reconciliation</t>
  </si>
  <si>
    <t>Tenant duplicates</t>
  </si>
  <si>
    <t>0</t>
  </si>
  <si>
    <t>Locked plans</t>
  </si>
  <si>
    <t>1</t>
  </si>
  <si>
    <t>Plan-day rows</t>
  </si>
  <si>
    <t>7</t>
  </si>
  <si>
    <t>Stored forecast</t>
  </si>
  <si>
    <t>+$3,500</t>
  </si>
  <si>
    <t>Priority order after this run</t>
  </si>
  <si>
    <t>Verified truth</t>
  </si>
  <si>
    <t>Resolution</t>
  </si>
  <si>
    <t>Retest gate</t>
  </si>
  <si>
    <t>Saved-plan hero</t>
  </si>
  <si>
    <t>Dataset A remains stored once and derives +$3,500.</t>
  </si>
  <si>
    <t>Hero now selects projectedNet and visibly shows +$3,500.</t>
  </si>
  <si>
    <t>Frontend/product</t>
  </si>
  <si>
    <t>Retain the new regression test.</t>
  </si>
  <si>
    <t>S-09 PASS</t>
  </si>
  <si>
    <t>Period alignment</t>
  </si>
  <si>
    <t>Plan week starts 27 July 2026.</t>
  </si>
  <si>
    <t>Venue-state week_start now drives Mon 27 Jul to Sun 2 Aug.</t>
  </si>
  <si>
    <t>Keep adjacent period labels derived from the plan week.</t>
  </si>
  <si>
    <t>Return journey</t>
  </si>
  <si>
    <t>Account and tenant state remain healthy.</t>
  </si>
  <si>
    <t>Logout, route protection, and returning login all pass.</t>
  </si>
  <si>
    <t>QA</t>
  </si>
  <si>
    <t>Retain the confirmed test account for regression.</t>
  </si>
  <si>
    <t>S-12 PASS</t>
  </si>
  <si>
    <t>Unconfirmed login</t>
  </si>
  <si>
    <t>A fresh unconfirmed identity was available.</t>
  </si>
  <si>
    <t>Login showed Email not confirmed and /onboarding returned to login before confirmation.</t>
  </si>
  <si>
    <t>Retain this browser evidence for the confirmation gate.</t>
  </si>
  <si>
    <t>S-04 PASS</t>
  </si>
  <si>
    <t>Retest conclusion: all ten current journey cases pass with zero failures and zero blockers. A fresh account showed a disabled submit state, Check your email, rejection before confirmation, protected-route redirection, a successful /auth/callback return to /onboarding, and exactly one profile, membership, business, venue and venue-settings row. The corrected dashboard still shows +$3,500 and Mon 27 Jul to Sun 2 Aug from the saved plan.</t>
  </si>
  <si>
    <t>Detailed account-to-first-plan results</t>
  </si>
  <si>
    <t>PASS/FAIL/BLOCKED reflect the complete test case. The fresh pelonio.ervinnino@gmail.com journey now supplies direct S-03 to S-06 evidence; all current journey cases pass.</t>
  </si>
  <si>
    <t>URL / Surface</t>
  </si>
  <si>
    <t>Prerequisite</t>
  </si>
  <si>
    <t>Account / Record</t>
  </si>
  <si>
    <t>JOURNEY-001</t>
  </si>
  <si>
    <t>journey_bootstrap_audit</t>
  </si>
  <si>
    <t>S-03</t>
  </si>
  <si>
    <t>Account creation</t>
  </si>
  <si>
    <t>Chrome + Supabase + Gmail</t>
  </si>
  <si>
    <t>Default desktop</t>
  </si>
  <si>
    <t>One account identity and one confirmation email are created; submit is protected against repeat clicks.</t>
  </si>
  <si>
    <t>Create my Little Birdee disabled immediately after submission, Check your email appeared, and one Auth user plus one confirmation email were created.</t>
  </si>
  <si>
    <t>Fresh Chrome DOM, Gmail inbox and read-only auth.users query.</t>
  </si>
  <si>
    <t>No localhost application error.</t>
  </si>
  <si>
    <t>pelonio.ervinnino@gmail.com</t>
  </si>
  <si>
    <t>Fresh test account created once on 29 July 2026.</t>
  </si>
  <si>
    <t>S-04</t>
  </si>
  <si>
    <t>Chrome + Supabase</t>
  </si>
  <si>
    <t>Default desktop; separate signed-out tab</t>
  </si>
  <si>
    <t>/auth?mode=login and /onboarding</t>
  </si>
  <si>
    <t>An unconfirmed account cannot log in or open protected routes.</t>
  </si>
  <si>
    <t>Login remained on the login page with Email not confirmed; direct /onboarding returned to /auth?mode=login and exposed no business details.</t>
  </si>
  <si>
    <t>Fresh unconfirmed account, visible auth error, protected-route redirect and read-only auth query.</t>
  </si>
  <si>
    <t>The previous test-state blocker is resolved.</t>
  </si>
  <si>
    <t>S-05</t>
  </si>
  <si>
    <t>Email confirmation</t>
  </si>
  <si>
    <t>Chrome + Gmail + Supabase</t>
  </si>
  <si>
    <t>Gmail -&gt; /auth/callback -&gt; /onboarding</t>
  </si>
  <si>
    <t>The confirmation link returns through the Little Birdee callback and opens onboarding.</t>
  </si>
  <si>
    <t>Supabase Auth email arrived in the requested inbox; its link opened a new Little Birdee tab at /onboarding with Ervin S04 Test prefilled.</t>
  </si>
  <si>
    <t>Gmail sender and link, callback destination, onboarding DOM and confirmed auth.users row.</t>
  </si>
  <si>
    <t>No blank callback page or unrelated redirect occurred.</t>
  </si>
  <si>
    <t>S-06</t>
  </si>
  <si>
    <t>Tenant skeleton</t>
  </si>
  <si>
    <t>Supabase + Chrome</t>
  </si>
  <si>
    <t>Database and /onboarding</t>
  </si>
  <si>
    <t>Confirmation creates exactly one tenant skeleton for the new user.</t>
  </si>
  <si>
    <t>Read-only SQL returned one profile, one membership, one business, one venue and one venue-settings row; onboarding loaded the matching prefilled name.</t>
  </si>
  <si>
    <t>Read-only SQL scoped by Auth user and the live onboarding DOM.</t>
  </si>
  <si>
    <t>No duplicate tenant records.</t>
  </si>
  <si>
    <t>74c7685c-428e-4734-b1d1-330932297e44</t>
  </si>
  <si>
    <t>The account is confirmed and ready for the next onboarding test.</t>
  </si>
  <si>
    <t>JOURNEY-002</t>
  </si>
  <si>
    <t>Root + journey_bootstrap_audit</t>
  </si>
  <si>
    <t>S-07</t>
  </si>
  <si>
    <t>Business onboarding</t>
  </si>
  <si>
    <t>Desktop + Supabase</t>
  </si>
  <si>
    <t>/onboarding</t>
  </si>
  <si>
    <t>Required fields gate saving; save shows loading; profile and tenant names persist without duplicates.</t>
  </si>
  <si>
    <t>Blank form kept Next disabled; Saving state appeared; route opened /setup?from=onboarding; Alex Test / Café / Restaurant / North Star Café / Surry Hills persisted.</t>
  </si>
  <si>
    <t>DOM state, URL, and read-only SQL.</t>
  </si>
  <si>
    <t>One stable tenant skeleton remained.</t>
  </si>
  <si>
    <t>onboarding_completed_at was populated at 09:07:59Z.</t>
  </si>
  <si>
    <t>JOURNEY-003</t>
  </si>
  <si>
    <t>setup_s08_desktop + setup_s08_responsive + Root</t>
  </si>
  <si>
    <t>S-08</t>
  </si>
  <si>
    <t>First Setup UI</t>
  </si>
  <si>
    <t>Desktop, medium, mobile</t>
  </si>
  <si>
    <t>1440x900; 768x900; 390x844</t>
  </si>
  <si>
    <t>/setup?from=onboarding</t>
  </si>
  <si>
    <t>Revenue is first; four-step progress, Exit, Ask Birdee, no first-step Back, and reachable lower controls.</t>
  </si>
  <si>
    <t>All structure and disclosure checks passed. No horizontal overflow. Root supplemental PageDown proved GST controls and Next become fully visible above the dock on medium and mobile.</t>
  </si>
  <si>
    <t>DOM, ARIA state, bounding rectangles, and scroll-container metrics.</t>
  </si>
  <si>
    <t>No localhost error; extension noise only.</t>
  </si>
  <si>
    <t>Responsive agent scroll gesture timed out; root confirmed reachability by keyboard scrolling.</t>
  </si>
  <si>
    <t>JOURNEY-004</t>
  </si>
  <si>
    <t>Root + persistence_s09_s10</t>
  </si>
  <si>
    <t>S-09</t>
  </si>
  <si>
    <t>First saved weekly plan</t>
  </si>
  <si>
    <t>/app?period=this-week</t>
  </si>
  <si>
    <t>Dataset A saves once and the dashboard shows approximately +$3,500 estimated EBITDA.</t>
  </si>
  <si>
    <t>Fresh retest shows +$3,500 and Mon 27 Jul to Sun 2 Aug; both remain correct after two refreshes.</t>
  </si>
  <si>
    <t>Authenticated Chrome DOM, saved Dataset A, focused unit test, and two refreshes.</t>
  </si>
  <si>
    <t>No localhost application error; extension warnings only.</t>
  </si>
  <si>
    <t>dfdee839-66d8-49b5-91dd-adb42b4736bc</t>
  </si>
  <si>
    <t>Initial +$0 failure is retained in Journey Defects as resolved evidence.</t>
  </si>
  <si>
    <t>JOURNEY-005</t>
  </si>
  <si>
    <t>persistence_s09_s10</t>
  </si>
  <si>
    <t>S-10</t>
  </si>
  <si>
    <t>Plan reload and duplicate guard</t>
  </si>
  <si>
    <t>Fresh authenticated tab</t>
  </si>
  <si>
    <t>/app and /setup</t>
  </si>
  <si>
    <t>Two refreshes retain the plan; Setup reloads Dataset A; viewing creates no duplicate.</t>
  </si>
  <si>
    <t>Dashboard refreshed twice without onboarding regression. Setup reloaded saved values after a brief loading delay. Plan count remained one.</t>
  </si>
  <si>
    <t>DOM and read-only SQL counts.</t>
  </si>
  <si>
    <t>No duplicate plans.</t>
  </si>
  <si>
    <t>The persisted plan is healthy even though the hero selects the wrong profit measure.</t>
  </si>
  <si>
    <t>JOURNEY-006</t>
  </si>
  <si>
    <t>account_s11_responsive</t>
  </si>
  <si>
    <t>S-11</t>
  </si>
  <si>
    <t>Account page</t>
  </si>
  <si>
    <t>/account</t>
  </si>
  <si>
    <t>Account page identifies Alex Test, North Star Café, Surry Hills, Current, owner, Add venue, and Log out.</t>
  </si>
  <si>
    <t>All expected identity and venue details passed at all three viewports with no clipping or horizontal overflow.</t>
  </si>
  <si>
    <t>Fresh-tab DOM and responsive measurements.</t>
  </si>
  <si>
    <t>No application defect.</t>
  </si>
  <si>
    <t>No venue or session mutation occurred.</t>
  </si>
  <si>
    <t>JOURNEY-007</t>
  </si>
  <si>
    <t>Root</t>
  </si>
  <si>
    <t>S-12</t>
  </si>
  <si>
    <t>Logout and returning login</t>
  </si>
  <si>
    <t>Desktop</t>
  </si>
  <si>
    <t>/account -&gt; /auth -&gt; /app</t>
  </si>
  <si>
    <t>Logout protects routes; returning login retains Surry Hills and Dataset A.</t>
  </si>
  <si>
    <t>Logout opened login; direct /app returned to login; correct credentials returned to /app with +$3,500, the saved week, Surry Hills and North Star Café intact.</t>
  </si>
  <si>
    <t>Fresh authenticated Chrome session, protected-route URL, returning dashboard, and Account identity.</t>
  </si>
  <si>
    <t>The previously blocked returning-user journey is complete.</t>
  </si>
  <si>
    <t>Resolved journey findings and infrastructure notes</t>
  </si>
  <si>
    <t>JRN-001 and JRN-002 are closed by the fresh S-09 browser retest and focused regressions. JRN-003 remains a QA-infrastructure note, not a product defect.</t>
  </si>
  <si>
    <t>Finding</t>
  </si>
  <si>
    <t>Evidence / Cause</t>
  </si>
  <si>
    <t>Required Action</t>
  </si>
  <si>
    <t>Owner / Retest</t>
  </si>
  <si>
    <t>JRN-001</t>
  </si>
  <si>
    <t>Dashboard profit source</t>
  </si>
  <si>
    <t>A locked plan forecasts +$3,500, but the this-week hero labelled Your estimated profit shows +$0 when zero actual days are complete.</t>
  </si>
  <si>
    <t>app/app/page.tsx now calls the tested periodHeadlineProfit selector; unfinished current weeks use projectedNet.</t>
  </si>
  <si>
    <t>Keep the regression that expects +$3,500 when zero actual days are complete.</t>
  </si>
  <si>
    <t>Closed by S-09 retest</t>
  </si>
  <si>
    <t>JRN-002</t>
  </si>
  <si>
    <t>Reporting period label</t>
  </si>
  <si>
    <t>On 29 July 2026 the post-save this-week dashboard displayed Mon 23 to Sun 29 Jun while the saved plan week_start is 27 July 2026.</t>
  </si>
  <si>
    <t>The venue-state API now returns weekly_plans.week_start; buildPeriodView derives current and adjacent labels from it.</t>
  </si>
  <si>
    <t>Keep the date-range regression for the 27 July plan week.</t>
  </si>
  <si>
    <t>JRN-003</t>
  </si>
  <si>
    <t>Test infrastructure</t>
  </si>
  <si>
    <t>Recovery email rate limit</t>
  </si>
  <si>
    <t>A second recovery email request returned email rate limit exceeded.</t>
  </si>
  <si>
    <t>No production change. The second recovery request was limited by the default SMTP quota.</t>
  </si>
  <si>
    <t>Use Auth admin updateUserById or disposable-user cleanup before repeating pre-confirmation tests.</t>
  </si>
  <si>
    <t>QA infrastructure only</t>
  </si>
  <si>
    <t>Supabase persistence evidence</t>
  </si>
  <si>
    <t>Read-only reconciliation after exactly one onboarding save and one weekly-plan save. Monetary database values were stored in cents; rates were stored in basis points.</t>
  </si>
  <si>
    <t>Evidence item</t>
  </si>
  <si>
    <t>Observed</t>
  </si>
  <si>
    <t>Source</t>
  </si>
  <si>
    <t>Auth user</t>
  </si>
  <si>
    <t>auth.users</t>
  </si>
  <si>
    <t>Confirmed 2026-07-29 08:50:44Z; id b1e1bdec-e6e4-4b74-8a45-edf4c355811a</t>
  </si>
  <si>
    <t>Profile</t>
  </si>
  <si>
    <t>public profile table</t>
  </si>
  <si>
    <t>Alex Test; onboarding_completed_at 2026-07-29 09:07:59Z</t>
  </si>
  <si>
    <t>Owned business</t>
  </si>
  <si>
    <t>businesses</t>
  </si>
  <si>
    <t>North Star Café; stable id aa9ff5d0-21ed-429f-ac47-1830614f82b0</t>
  </si>
  <si>
    <t>Business membership</t>
  </si>
  <si>
    <t>1 owner</t>
  </si>
  <si>
    <t>business memberships</t>
  </si>
  <si>
    <t>No duplicate membership</t>
  </si>
  <si>
    <t>Venue</t>
  </si>
  <si>
    <t>venues</t>
  </si>
  <si>
    <t>Surry Hills; stable id 743f2c78-3270-4ddc-a028-ef15f86131de</t>
  </si>
  <si>
    <t>Venue membership</t>
  </si>
  <si>
    <t>venue memberships</t>
  </si>
  <si>
    <t>Venue settings</t>
  </si>
  <si>
    <t>venue settings</t>
  </si>
  <si>
    <t>No duplicate settings record</t>
  </si>
  <si>
    <t>Locked weekly plan</t>
  </si>
  <si>
    <t>weekly_plans</t>
  </si>
  <si>
    <t>dfdee839-66d8-49b5-91dd-adb42b4736bc; week_start 2026-07-27; version 1</t>
  </si>
  <si>
    <t>weekly plan days</t>
  </si>
  <si>
    <t>Revenue cents: 100000,100000,100000,100000,200000,300000,200000</t>
  </si>
  <si>
    <t>Entered weekly revenue</t>
  </si>
  <si>
    <t>$11,000</t>
  </si>
  <si>
    <t>sum of plan-day revenue</t>
  </si>
  <si>
    <t>Stored in cents; GST registered-fully-taxable and GST-inclusive</t>
  </si>
  <si>
    <t>Weekly wages</t>
  </si>
  <si>
    <t>$2,000</t>
  </si>
  <si>
    <t>plan assumptions</t>
  </si>
  <si>
    <t>Stored as 200000 cents</t>
  </si>
  <si>
    <t>COGS rate</t>
  </si>
  <si>
    <t>30%</t>
  </si>
  <si>
    <t>Stored as 3000 basis points</t>
  </si>
  <si>
    <t>Other weekly costs</t>
  </si>
  <si>
    <t>$1,500</t>
  </si>
  <si>
    <t>Stored as 150000 cents</t>
  </si>
  <si>
    <t>Recurring other income</t>
  </si>
  <si>
    <t>$0</t>
  </si>
  <si>
    <t>One assumption row; no extra income</t>
  </si>
  <si>
    <t>Forecast EBITDA</t>
  </si>
  <si>
    <t>+$3,500 stored/projected</t>
  </si>
  <si>
    <t>derived from Dataset A</t>
  </si>
  <si>
    <t>$11,000 - $2,000 - $3,000 COGS - $1,500 other costs</t>
  </si>
  <si>
    <t>Dashboard hero</t>
  </si>
  <si>
    <t>+$3,500 estimated</t>
  </si>
  <si>
    <t>Fresh Chrome retest uses projectedNet and retains the value after two refreshes</t>
  </si>
  <si>
    <t>Actual revisions</t>
  </si>
  <si>
    <t>0 before daily updates</t>
  </si>
  <si>
    <t>actual revisions</t>
  </si>
  <si>
    <t>No actual data has been entered</t>
  </si>
  <si>
    <t>Duplicate plan rows</t>
  </si>
  <si>
    <t>0 duplicates</t>
  </si>
  <si>
    <t>Refresh and read-only Setup navigation did not create records</t>
  </si>
  <si>
    <t>Retest note: the database plan was not rewritten during this fix. All Setup checks were read-only; S-12 changed only the authentication session. The existing one-plan / seven-day-row reconciliation therefore remains the persisted source for the corrected dashboard result.</t>
  </si>
  <si>
    <t>Fresh auth journey</t>
  </si>
  <si>
    <t>S-04 confirmation gate</t>
  </si>
  <si>
    <t>Unconfirmed login and /onboarding are blocked</t>
  </si>
  <si>
    <t>Email not confirmed; /onboarding returned to login</t>
  </si>
  <si>
    <t>No business data exposed</t>
  </si>
  <si>
    <t>S-05 email confirmation</t>
  </si>
  <si>
    <t>Callback returns to onboarding</t>
  </si>
  <si>
    <t>Confirmation opened /onboarding with the test name prefilled</t>
  </si>
  <si>
    <t>Gmail + Chrome</t>
  </si>
  <si>
    <t>Same Little Birdee origin</t>
  </si>
  <si>
    <t>S-06 tenant skeleton</t>
  </si>
  <si>
    <t>One of each bootstrap record</t>
  </si>
  <si>
    <t>Profile 1; membership 1; business 1; venue 1; settings 1</t>
  </si>
  <si>
    <t>Read-only Supabase SQL</t>
  </si>
  <si>
    <t>No duplicates</t>
  </si>
  <si>
    <t>Little Birdee - Group 1 complex persistence acceptance</t>
  </si>
  <si>
    <t>Validation</t>
  </si>
  <si>
    <t>North Star Cafe / Surry Hills</t>
  </si>
  <si>
    <t>Dataset</t>
  </si>
  <si>
    <t>A v1 -&gt; A2 v2</t>
  </si>
  <si>
    <t>Stored state</t>
  </si>
  <si>
    <t>2 locked plan versions; 14 day rows</t>
  </si>
  <si>
    <t>Authenticated Chrome + read-only Supabase</t>
  </si>
  <si>
    <t>Product outcome</t>
  </si>
  <si>
    <t>+$3,627 from latest version</t>
  </si>
  <si>
    <t>Batch result</t>
  </si>
  <si>
    <t>Count</t>
  </si>
  <si>
    <t>BLOCKED / PARTIAL</t>
  </si>
  <si>
    <t>Before</t>
  </si>
  <si>
    <t>Resolution / evidence</t>
  </si>
  <si>
    <t>Exit Setup route</t>
  </si>
  <si>
    <t>Authenticated Setup exited to legacy /home.</t>
  </si>
  <si>
    <t>All authenticated Setup exits now route to /app?period=this-week; C-01 browser retest passed.</t>
  </si>
  <si>
    <t>C-01 PASS</t>
  </si>
  <si>
    <t>Retain route regression coverage.</t>
  </si>
  <si>
    <t>Demo values flash before server plan</t>
  </si>
  <si>
    <t>Setup briefly exposed $20,000 demo defaults before version 2 loaded.</t>
  </si>
  <si>
    <t>Setup now displays a neutral loading status until venue-state resolution, then restores $11,200 / $2,000 / 30% / $1,500.</t>
  </si>
  <si>
    <t>C-05 safe rerun PASS</t>
  </si>
  <si>
    <t>Keep loading-state coverage.</t>
  </si>
  <si>
    <t>Direct Local Storage clear</t>
  </si>
  <si>
    <t>C-05 calls for clearing only app Local Storage.</t>
  </si>
  <si>
    <t>Chrome connector security policy rejected the operation. No bypass was attempted; server restore, latest values and unchanged DB version count were still verified.</t>
  </si>
  <si>
    <t>Blocked / partial</t>
  </si>
  <si>
    <t>QA tooling</t>
  </si>
  <si>
    <t>Manual tester</t>
  </si>
  <si>
    <t>Run the single remaining step manually in Chrome DevTools, then reload Setup.</t>
  </si>
  <si>
    <t>Conclusion: C-01 through C-04 pass. C-05's non-destructive browser and database checks also pass: Setup no longer flashes demo numbers, version 2 restores correctly, the dashboard remains +$3,627, and exiting without saving leaves plan_count=2 and max_version=2. Only the connector-blocked Local Storage clear action remains for a manual tester.</t>
  </si>
  <si>
    <t>Complex cases C-01 to C-05</t>
  </si>
  <si>
    <t>PASS/FAIL/BLOCKED describe the complete written case. C-05 is partial only because the Chrome connector prohibits clearing site Local Storage; its safe UI and database assertions passed.</t>
  </si>
  <si>
    <t>ID</t>
  </si>
  <si>
    <t>Scenario</t>
  </si>
  <si>
    <t>Type</t>
  </si>
  <si>
    <t>Environment</t>
  </si>
  <si>
    <t>Preconditions / data</t>
  </si>
  <si>
    <t>Actions exercised</t>
  </si>
  <si>
    <t>UI evidence</t>
  </si>
  <si>
    <t>Database evidence</t>
  </si>
  <si>
    <t>Defect / blocker</t>
  </si>
  <si>
    <t>Retest</t>
  </si>
  <si>
    <t>C-01</t>
  </si>
  <si>
    <t>Leave Setup without final save</t>
  </si>
  <si>
    <t>Complex</t>
  </si>
  <si>
    <t>Authenticated Chrome + Supabase</t>
  </si>
  <si>
    <t>North Star Café version 1; Dataset A</t>
  </si>
  <si>
    <t>Opened Setup, traversed steps, returned, exited without See my profit.</t>
  </si>
  <si>
    <t>No plan version is created and authenticated exit returns to the dashboard.</t>
  </si>
  <si>
    <t>Dashboard remained +$3,500; Exit setup opened /app?period=this-week.</t>
  </si>
  <si>
    <t>Setup and dashboard DOM.</t>
  </si>
  <si>
    <t>Before and after: plan_count=1; max_version=1.</t>
  </si>
  <si>
    <t>Found legacy /home exit route.</t>
  </si>
  <si>
    <t>PASS after route fix</t>
  </si>
  <si>
    <t>No final save was triggered.</t>
  </si>
  <si>
    <t>C-02</t>
  </si>
  <si>
    <t>Save a changed plan as version 2</t>
  </si>
  <si>
    <t>Dataset A; Monday changes from $1,000 to $1,200</t>
  </si>
  <si>
    <t>Edited Monday only, kept wages $2,000, COGS 30%, other costs $1,500, then saved.</t>
  </si>
  <si>
    <t>A new locked version supersedes v1 and the dashboard recalculates.</t>
  </si>
  <si>
    <t>Week total became $11,200; dashboard showed +$3,627.</t>
  </si>
  <si>
    <t>v2 id 98a403a5...; total 1,120,000 cents; Monday 120,000; supersedes v1.</t>
  </si>
  <si>
    <t>None.</t>
  </si>
  <si>
    <t>GST remains registered / fully taxable with GST-inclusive entry.</t>
  </si>
  <si>
    <t>C-03</t>
  </si>
  <si>
    <t>Locked-plan immutability</t>
  </si>
  <si>
    <t>Read-only Supabase inspection</t>
  </si>
  <si>
    <t>Locked versions 1 and 2</t>
  </si>
  <si>
    <t>Compared v1 before and after v2; inspected live guard triggers and functions.</t>
  </si>
  <si>
    <t>Earlier locked plans and assumptions cannot be changed in place.</t>
  </si>
  <si>
    <t>v1 values stayed unchanged; v2 used a new ID and supersedes v1.</t>
  </si>
  <si>
    <t>Guard functions raise locked-plan, locked-allocation and immutable-assumption errors.</t>
  </si>
  <si>
    <t>No privileged destructive mutation was attempted.</t>
  </si>
  <si>
    <t>C-04</t>
  </si>
  <si>
    <t>Persisted graph and audit reconciliation</t>
  </si>
  <si>
    <t>Version 2 saved from Dataset A2</t>
  </si>
  <si>
    <t>Reconciled plan header, seven day rows, four financial assumptions and audit entries.</t>
  </si>
  <si>
    <t>Stored child rows sum to the weekly total and all assumptions remain versioned.</t>
  </si>
  <si>
    <t>UI matched the stored $11,200 / $2,000 / 30% / $1,500 inputs.</t>
  </si>
  <si>
    <t>Setup DOM.</t>
  </si>
  <si>
    <t>7 ordered day rows sum to 1,120,000 cents; four assumptions retained per version; audit events present.</t>
  </si>
  <si>
    <t>Venue setting update is included in audit evidence.</t>
  </si>
  <si>
    <t>C-05</t>
  </si>
  <si>
    <t>Latest server version after local reset</t>
  </si>
  <si>
    <t>Complex / edge</t>
  </si>
  <si>
    <t>Version 2 is authoritative; expected dashboard +$3,627</t>
  </si>
  <si>
    <t>Reloaded Setup, verified neutral loading and version 2 restore, traversed all steps, exited without save, rechecked DB.</t>
  </si>
  <si>
    <t>Clearing only Local Storage then reloading restores v2 with no duplicate version.</t>
  </si>
  <si>
    <t>Safe portion passed: $11,200 / $2,000 / 30% / $1,500 restored; dashboard +$3,627.</t>
  </si>
  <si>
    <t>Loading, Setup and dashboard DOM.</t>
  </si>
  <si>
    <t>After exit: plan_count=2; max_version=2; v2 total 1,120,000 cents.</t>
  </si>
  <si>
    <t>Chrome security policy blocked direct Local Storage clear.</t>
  </si>
  <si>
    <t>Safe portion PASS</t>
  </si>
  <si>
    <t>Manual DevTools clear remains the only missing action.</t>
  </si>
  <si>
    <t>Complex persistence evidence</t>
  </si>
  <si>
    <t>Evidence group</t>
  </si>
  <si>
    <t>Record</t>
  </si>
  <si>
    <t>Identifier</t>
  </si>
  <si>
    <t>Version chain</t>
  </si>
  <si>
    <t>Version 1</t>
  </si>
  <si>
    <t>Locked baseline</t>
  </si>
  <si>
    <t>1,100,000 cents; Monday 100,000; locked</t>
  </si>
  <si>
    <t>weekly_plans + days</t>
  </si>
  <si>
    <t>b37f86f0-4a31-405e-a857-e15e032dc7fe</t>
  </si>
  <si>
    <t>supersedes_plan_id is null</t>
  </si>
  <si>
    <t>Version 2</t>
  </si>
  <si>
    <t>New locked version</t>
  </si>
  <si>
    <t>1,120,000 cents; Monday 120,000; locked</t>
  </si>
  <si>
    <t>98a403a5-245d-47c1-b0c8-009da1278fab</t>
  </si>
  <si>
    <t>supersedes version 1</t>
  </si>
  <si>
    <t>Day allocation</t>
  </si>
  <si>
    <t>7 rows total 1,120,000</t>
  </si>
  <si>
    <t>120000, 100000, 100000, 100000, 200000, 300000, 200000</t>
  </si>
  <si>
    <t>weekly_plan_days</t>
  </si>
  <si>
    <t>version 2</t>
  </si>
  <si>
    <t>Ordered Monday through Sunday</t>
  </si>
  <si>
    <t>Assumption</t>
  </si>
  <si>
    <t>3000 basis points in v1 and v2</t>
  </si>
  <si>
    <t>financial_assumptions</t>
  </si>
  <si>
    <t>cogs-rate</t>
  </si>
  <si>
    <t>Versioned, not overwritten</t>
  </si>
  <si>
    <t>Weekly labour</t>
  </si>
  <si>
    <t>200000 cents in v1 and v2</t>
  </si>
  <si>
    <t>weekly-labour</t>
  </si>
  <si>
    <t>Other operating costs</t>
  </si>
  <si>
    <t>150000 cents in v1 and v2</t>
  </si>
  <si>
    <t>weekly-other-operating-costs</t>
  </si>
  <si>
    <t>Recurring operating income</t>
  </si>
  <si>
    <t>0 cents in v1 and v2</t>
  </si>
  <si>
    <t>weekly-recurring-operating-income</t>
  </si>
  <si>
    <t>Financial policy</t>
  </si>
  <si>
    <t>GST</t>
  </si>
  <si>
    <t>Registered and GST-inclusive</t>
  </si>
  <si>
    <t>registered-fully-taxable / gst-inclusive</t>
  </si>
  <si>
    <t>versions 1 and 2</t>
  </si>
  <si>
    <t>COGS applied to GST-exclusive revenue</t>
  </si>
  <si>
    <t>Immutability</t>
  </si>
  <si>
    <t>Plan guard</t>
  </si>
  <si>
    <t>Locked plan cannot update/delete</t>
  </si>
  <si>
    <t>private.guard_weekly_plan raises an exception</t>
  </si>
  <si>
    <t>live trigger/function definition</t>
  </si>
  <si>
    <t>weekly_plans_guard</t>
  </si>
  <si>
    <t>Read-only inspection</t>
  </si>
  <si>
    <t>Day guard</t>
  </si>
  <si>
    <t>Locked allocations cannot mutate</t>
  </si>
  <si>
    <t>private.guard_weekly_plan_day raises an exception</t>
  </si>
  <si>
    <t>weekly_plan_days_guard</t>
  </si>
  <si>
    <t>Assumption guard</t>
  </si>
  <si>
    <t>Versioned assumptions cannot mutate</t>
  </si>
  <si>
    <t>financial_assumptions_immutable is active</t>
  </si>
  <si>
    <t>financial_assumptions_immutable</t>
  </si>
  <si>
    <t>C-05 final state</t>
  </si>
  <si>
    <t>No extra save</t>
  </si>
  <si>
    <t>plan_count=2; max_version=2</t>
  </si>
  <si>
    <t>plan_count=2; max_version=2; v2 total 1,120,000 cents</t>
  </si>
  <si>
    <t>read-only SQL after browser exit</t>
  </si>
  <si>
    <t>venue 9243d650-e194-4bfa-b283-1e8bdad9501f</t>
  </si>
  <si>
    <t>Dashboard remains +$3,627</t>
  </si>
  <si>
    <t>Scope note: all database checks were read-only. The only writes in this batch came from the normal authenticated Setup save used by C-02. C-03 verified immutability through unchanged records plus the live trigger/function contract, avoiding a privileged mutation that could damage the fixture.</t>
  </si>
  <si>
    <t>Multi-venue acceptance results — C-06 to C-10</t>
  </si>
  <si>
    <t>UI actions were completed through the authenticated application. C-10 remains partial only for a full Chrome shutdown/relaunch and cookie-attribute inspection.</t>
  </si>
  <si>
    <t>Retest / manual</t>
  </si>
  <si>
    <t>C-06</t>
  </si>
  <si>
    <t>Create a second venue</t>
  </si>
  <si>
    <t>Authenticated Chrome / desktop</t>
  </si>
  <si>
    <t>Added Newtown once from Account.</t>
  </si>
  <si>
    <t>Newtown becomes current; Surry Hills remains once and unchanged.</t>
  </si>
  <si>
    <t>Success status appeared; Newtown became Current; both venues appeared once.</t>
  </si>
  <si>
    <t>Account DOM, success status, and current marker.</t>
  </si>
  <si>
    <t>Not rerun — Supabase connector unavailable in this session.</t>
  </si>
  <si>
    <t>Normal product action created one Newtown venue.</t>
  </si>
  <si>
    <t>C-07</t>
  </si>
  <si>
    <t>New venue has no borrowed authoritative plan</t>
  </si>
  <si>
    <t>Opened This week immediately after creating Newtown.</t>
  </si>
  <si>
    <t>Unconfigured Newtown redirects to Setup and does not expose Surry Hills as a saved Newtown plan.</t>
  </si>
  <si>
    <t>The dashboard showed a loading state, then redirected to /setup. A convenience prefill appeared, but no Newtown result loaded until save.</t>
  </si>
  <si>
    <t>URL transition and Setup DOM.</t>
  </si>
  <si>
    <t>Not rerun — server record query unavailable.</t>
  </si>
  <si>
    <t>Matches the documented convenience-prefill allowance.</t>
  </si>
  <si>
    <t>C-08</t>
  </si>
  <si>
    <t>Save a distinct Newtown plan</t>
  </si>
  <si>
    <t>Saved seven $700 days, GST No, wages $1,200, COGS 25%, other costs $650; refreshed.</t>
  </si>
  <si>
    <t>Newtown totals $4,900 and shows +$1,825 estimated EBITDA after refresh.</t>
  </si>
  <si>
    <t>Dashboard showed +$1,825 immediately and after refresh.</t>
  </si>
  <si>
    <t>Setup values, dashboard DOM, and refresh DOM.</t>
  </si>
  <si>
    <t>Not rerun — locked plan/day-row count remains unverified this batch.</t>
  </si>
  <si>
    <t>Read-only database reconciliation remains</t>
  </si>
  <si>
    <t>The product-facing save and reload path passed.</t>
  </si>
  <si>
    <t>C-09</t>
  </si>
  <si>
    <t>Switching venues switches every current record</t>
  </si>
  <si>
    <t>Switched Surry Hills → Newtown and inspected all four Setup steps for each.</t>
  </si>
  <si>
    <t>Surry Hills retains Dataset A2; Newtown retains Dataset N; all assumptions switch together.</t>
  </si>
  <si>
    <t>Surry Hills: $11,200, GST Yes/include, $2,000, 30%, $1,500, +$3,627. Newtown: $4,900, GST No, $1,200, 25%, $650, +$1,825.</t>
  </si>
  <si>
    <t>Account current markers, dashboard values, and every Setup field.</t>
  </si>
  <si>
    <t>Not rerun — database connector unavailable.</t>
  </si>
  <si>
    <t>No cross-venue UI value leakage was observed.</t>
  </si>
  <si>
    <t>C-10</t>
  </si>
  <si>
    <t>Current venue survives refresh and normal relaunch</t>
  </si>
  <si>
    <t>Left Newtown selected; refreshed Account; opened a fresh Chrome tab; loaded Account and This week.</t>
  </si>
  <si>
    <t>Newtown remains current after refresh/relaunch; cookie flags are correctly scoped.</t>
  </si>
  <si>
    <t>Newtown remained Current after refresh and in a fresh tab; its +$1,825 plan loaded.</t>
  </si>
  <si>
    <t>Current marker and dashboard result in original and fresh tabs.</t>
  </si>
  <si>
    <t>Not rerun.</t>
  </si>
  <si>
    <t>Full Chrome shutdown/reopen and cookie-attribute inspection are manual-only.</t>
  </si>
  <si>
    <t>Close/reopen Chrome; inspect the cookie in DevTools.</t>
  </si>
  <si>
    <t>The safe automated portion passed; no product defect is indicated.</t>
  </si>
  <si>
    <t>Little Birdee — Group 1 multi-venue acceptance</t>
  </si>
  <si>
    <t>Venues</t>
  </si>
  <si>
    <t>Surry Hills and Newtown</t>
  </si>
  <si>
    <t>Automated/UI scope</t>
  </si>
  <si>
    <t>C-06 through C-10 safe portion</t>
  </si>
  <si>
    <t>http://localhost:3000</t>
  </si>
  <si>
    <t>Surry Hills</t>
  </si>
  <si>
    <t>Dataset A2 · +$3,627</t>
  </si>
  <si>
    <t>Database scope</t>
  </si>
  <si>
    <t>Not rerun in this session</t>
  </si>
  <si>
    <t>Newtown</t>
  </si>
  <si>
    <t>Dataset N · +$1,825</t>
  </si>
  <si>
    <t>Major blocker</t>
  </si>
  <si>
    <t>Business</t>
  </si>
  <si>
    <t>North Star Café</t>
  </si>
  <si>
    <t>Authenticated Chrome UI</t>
  </si>
  <si>
    <t>Manual remainder</t>
  </si>
  <si>
    <t>Full browser relaunch + cookie flags</t>
  </si>
  <si>
    <t>C-06 TO C-09 PASS
C-10 SAFE PORTION PASS
ONE MANUAL RELAUNCH CHECK REMAINS</t>
  </si>
  <si>
    <t>Test</t>
  </si>
  <si>
    <t>Second venue</t>
  </si>
  <si>
    <t>Newtown is created once and becomes current.</t>
  </si>
  <si>
    <t>Retain Newtown for later isolation tests.</t>
  </si>
  <si>
    <t>Unsaved venue isolation</t>
  </si>
  <si>
    <t>Newtown routes to Setup before it has an authoritative plan.</t>
  </si>
  <si>
    <t>Distinct saved plan</t>
  </si>
  <si>
    <t>Newtown reloads $4,900 and +$1,825.</t>
  </si>
  <si>
    <t>Add read-only DB reconciliation later.</t>
  </si>
  <si>
    <t>UI cleared</t>
  </si>
  <si>
    <t>Venue switching</t>
  </si>
  <si>
    <t>Revenue, GST, wages, COGS, costs, and profit all switch together.</t>
  </si>
  <si>
    <t>Relaunch persistence</t>
  </si>
  <si>
    <t>Refresh and a fresh tab retain Newtown.</t>
  </si>
  <si>
    <t>PARTIAL</t>
  </si>
  <si>
    <t>Close/reopen Chrome and inspect cookie flags.</t>
  </si>
  <si>
    <t>Manual evidence pending</t>
  </si>
  <si>
    <t>Conclusion: the multi-venue product journey is healthy in the UI. Surry Hills and Newtown retain visibly distinct plans, and switching changes every displayed assumption together. No cross-venue leakage was observed. Final C-10 sign-off waits only for the manual full-browser relaunch and cookie-attribute check.</t>
  </si>
  <si>
    <t>Multi-venue UI evidence</t>
  </si>
  <si>
    <t>Evidence is from the authenticated UI and refresh/fresh-tab behavior. No privileged database mutation was performed.</t>
  </si>
  <si>
    <t>Venue creation</t>
  </si>
  <si>
    <t>Venue list</t>
  </si>
  <si>
    <t>Newtown and Surry Hills once each</t>
  </si>
  <si>
    <t>Two distinct venue cards; Newtown Current</t>
  </si>
  <si>
    <t>Success status visible</t>
  </si>
  <si>
    <t>Unsaved isolation</t>
  </si>
  <si>
    <t>Initial route</t>
  </si>
  <si>
    <t>Redirect to Setup</t>
  </si>
  <si>
    <t>/app → /setup</t>
  </si>
  <si>
    <t>Route + Setup</t>
  </si>
  <si>
    <t>Convenience prefill was not treated as a saved result</t>
  </si>
  <si>
    <t>Saved plan</t>
  </si>
  <si>
    <t>Revenue</t>
  </si>
  <si>
    <t>$4,900</t>
  </si>
  <si>
    <t>Seven days × $700</t>
  </si>
  <si>
    <t>/setup</t>
  </si>
  <si>
    <t>GST No</t>
  </si>
  <si>
    <t>Assumptions</t>
  </si>
  <si>
    <t>$1,200 / 25% / $650</t>
  </si>
  <si>
    <t>Wages / COGS / other costs</t>
  </si>
  <si>
    <t>Estimated EBITDA</t>
  </si>
  <si>
    <t>+$1,825</t>
  </si>
  <si>
    <t>/app</t>
  </si>
  <si>
    <t>Passed after refresh</t>
  </si>
  <si>
    <t>Venue switch</t>
  </si>
  <si>
    <t>$11,200</t>
  </si>
  <si>
    <t>$1,200, $1,000, $1,000, $1,000, $2,000, $3,000, $2,000</t>
  </si>
  <si>
    <t>GST Yes; Include GST</t>
  </si>
  <si>
    <t>$2,000 / 30% / $1,500</t>
  </si>
  <si>
    <t>Dataset A2</t>
  </si>
  <si>
    <t>+$3,627</t>
  </si>
  <si>
    <t>No Newtown values appeared</t>
  </si>
  <si>
    <t>Full plan</t>
  </si>
  <si>
    <t>Dataset N</t>
  </si>
  <si>
    <t>Dataset N restored across all four steps</t>
  </si>
  <si>
    <t>No Surry Hills values appeared</t>
  </si>
  <si>
    <t>Refresh</t>
  </si>
  <si>
    <t>Current marker</t>
  </si>
  <si>
    <t>Newtown remains Current</t>
  </si>
  <si>
    <t>Newtown remained Current</t>
  </si>
  <si>
    <t>Same tab refresh</t>
  </si>
  <si>
    <t>Fresh tab</t>
  </si>
  <si>
    <t>Current plan</t>
  </si>
  <si>
    <t>Newtown and +$1,825</t>
  </si>
  <si>
    <t>Newtown Current; +$1,825</t>
  </si>
  <si>
    <t>/account + /app</t>
  </si>
  <si>
    <t>Same Chrome profile</t>
  </si>
  <si>
    <t>Full browser relaunch and cookie attributes</t>
  </si>
  <si>
    <t>Persist and meet scope/HTTP-only/SameSite rules</t>
  </si>
  <si>
    <t>Not exercised by browser connector</t>
  </si>
  <si>
    <t>MANUAL</t>
  </si>
  <si>
    <t>Chrome DevTools</t>
  </si>
  <si>
    <t>Required for complete C-10 sign-off</t>
  </si>
  <si>
    <t>Little Birdee — deferred human and external checks</t>
  </si>
  <si>
    <t>Product-owner decision, 30 July 2026: these checks are retained for later security, device, and production-readiness validation. They do not block the current Group 1 product-functionality acceptance or the next browser-test batch.</t>
  </si>
  <si>
    <t>Original priority</t>
  </si>
  <si>
    <t>Deferred check</t>
  </si>
  <si>
    <t>Why deferred</t>
  </si>
  <si>
    <t>Current impact</t>
  </si>
  <si>
    <t>Return trigger</t>
  </si>
  <si>
    <t>Clear only Local Storage and prove the server plan wins.</t>
  </si>
  <si>
    <t>Browser-control policy prevents direct Local Storage clearing.</t>
  </si>
  <si>
    <t>DEFERRED</t>
  </si>
  <si>
    <t>Non-blocking for current product acceptance</t>
  </si>
  <si>
    <t>Before production persistence sign-off</t>
  </si>
  <si>
    <t>Fully close/reopen Chrome and inspect selected-venue cookie attributes.</t>
  </si>
  <si>
    <t>A browser session cannot close and relaunch the whole user browser or inspect cookies.</t>
  </si>
  <si>
    <t>C-13</t>
  </si>
  <si>
    <t>Tamper with the hidden venue ID and verify unauthorized selection is rejected.</t>
  </si>
  <si>
    <t>Requires DevTools form manipulation or a dedicated engineering security harness.</t>
  </si>
  <si>
    <t>Manual tester / engineering</t>
  </si>
  <si>
    <t>Before tenant-security sign-off</t>
  </si>
  <si>
    <t>A-06</t>
  </si>
  <si>
    <t>Verify a genuinely expired recovery link.</t>
  </si>
  <si>
    <t>Expiry requires time or controlled Auth administration; reused-link behavior can be tested separately.</t>
  </si>
  <si>
    <t>QA / Auth</t>
  </si>
  <si>
    <t>Before production Auth sign-off</t>
  </si>
  <si>
    <t>A-07</t>
  </si>
  <si>
    <t>Repeat persistence on a genuinely separate browser profile or physical device.</t>
  </si>
  <si>
    <t>Current automated run uses one connected Chrome environment.</t>
  </si>
  <si>
    <t>Before cross-device release testing</t>
  </si>
  <si>
    <t>A-08</t>
  </si>
  <si>
    <t>Clear cookies, Local Storage, and site data, then log in and recover server records.</t>
  </si>
  <si>
    <t>Requires user-controlled site-data removal.</t>
  </si>
  <si>
    <t>E-04</t>
  </si>
  <si>
    <t>Decide whether duplicate venue names are allowed or rejected.</t>
  </si>
  <si>
    <t>This is a product-policy decision, not only a technical result.</t>
  </si>
  <si>
    <t>Before venue-management rules are locked</t>
  </si>
  <si>
    <t>E-09</t>
  </si>
  <si>
    <t>Remove or replace the selected-venue cookie and verify safe recovery.</t>
  </si>
  <si>
    <t>Requires user-controlled cookie manipulation or an engineering harness.</t>
  </si>
  <si>
    <t>E-13 / E-14</t>
  </si>
  <si>
    <t>Use a physical phone to test the soft keyboard, touch comfort, browser chrome, and short viewport.</t>
  </si>
  <si>
    <t>Viewport simulation cannot reproduce a real mobile keyboard and touch environment.</t>
  </si>
  <si>
    <t>Before mobile release sign-off</t>
  </si>
  <si>
    <t>E-16</t>
  </si>
  <si>
    <t>Inspect key screens at real 200% browser zoom and increased text size.</t>
  </si>
  <si>
    <t>Needs human visual assessment in the actual browser/OS text environment.</t>
  </si>
  <si>
    <t>Before accessibility sign-off</t>
  </si>
  <si>
    <t>G-01 to G-05</t>
  </si>
  <si>
    <t>Conditional P0/P1</t>
  </si>
  <si>
    <t>Complete Google signup/login, cancellation, and production callback tests.</t>
  </si>
  <si>
    <t>Google OAuth and a permanent production domain are not configured yet.</t>
  </si>
  <si>
    <t>Product / Auth</t>
  </si>
  <si>
    <t>Excluded from current release acceptance unless promised</t>
  </si>
  <si>
    <t>When Google and the production domain are enabled</t>
  </si>
  <si>
    <t>Production Auth callback</t>
  </si>
  <si>
    <t>P0 before release</t>
  </si>
  <si>
    <t>Confirm confirmation and recovery links return to the permanent production origin.</t>
  </si>
  <si>
    <t>No permanent production domain is available yet.</t>
  </si>
  <si>
    <t>Product / engineering</t>
  </si>
  <si>
    <t>Non-blocking for local product acceptance</t>
  </si>
  <si>
    <t>Before production deployment sign-off</t>
  </si>
  <si>
    <t>Little Birdee — Group 1 edge and validation batch (E-02 to E-12)</t>
  </si>
  <si>
    <t>Run 30 July 2026 on branch codex/scott-ui-redesign, base URL http://localhost:3000. Executed by two Chrome-connector sub-agents (one read-only, one sole mutator). PRECONDITION DEVIATION: the canonical Account A (North Star Café / Surry Hills / Newtown) was not signed in and its password is not recorded anywhere in the repository. The only available authenticated session was 29penstation@gmail.com, whose venues are ad-hoc development records (asdasd, Testing, testing, Manual). Tests requiring sign-out, a second tenant, or Dataset A2 could not be run — signing out would have ended the only usable session.</t>
  </si>
  <si>
    <t>Environment / viewport</t>
  </si>
  <si>
    <t>Console / network</t>
  </si>
  <si>
    <t>Defect candidate</t>
  </si>
  <si>
    <t>E-07</t>
  </si>
  <si>
    <t>Exit Setup with unsaved changes (adapted: venue 'Testing' substituted for Surry Hills / Dataset A2)</t>
  </si>
  <si>
    <t>Authenticated Chrome / desktop 1920x897</t>
  </si>
  <si>
    <t>Saved plan is unchanged; unsaved edits create no plan version and overwrite nothing; dashboard figure unchanged.</t>
  </si>
  <si>
    <t>The anti-overwrite guarantee HELD: /api/venue-state updatedAt stayed 2026-07-30T07:29:47Z before and after Exit setup, and the dashboard stayed at -$4,983. But Setup's FIRST render after switching to 'Testing' showed Monday $1,000 and wages $6,000, while the persisted plan for that venue is Monday $1,234 and wages $6,001 (rev 11234, COGS 35%, other costs 5620). Subsequent /setup loads showed the correct 1,234 / 6,001. Exit setup also returned the header's current venue to 'asdasd' instead of remaining on 'Testing'.</t>
  </si>
  <si>
    <t>Screenshots ss_7735cllvg, ss_9333t4aic, ss_966804r86; /api/venue-state payload rev 11234 / lab 6001 / days [1234,1000,1000,1000,1000,3000,3000] / updatedAt 2026-07-30T07:29:47.0199Z. Dashboard -$4,983 reconciles to the SERVER values with GST applied (11234/1.1 - 35% - 6001 - 5620 = -4,983), confirming the dashboard was correct and Setup was stale.</t>
  </si>
  <si>
    <t>No console errors.</t>
  </si>
  <si>
    <t>Yes — DEF-E07-01</t>
  </si>
  <si>
    <t>Escalated to product owner</t>
  </si>
  <si>
    <t>Root-cause candidate identified in code, not yet confirmed by controlled reproduction: app/setup/page.tsx:145 and :178 fall back to loadWeek(), and lib/profit.ts:288 stores that week under a SINGLE global localStorage key 'little-birdee-week' that is not scoped per venue. state.setupDraft also takes priority over the saved plan at :178, so a stale draft is a second candidate. Reproduction on a disposable venue was NOT attempted because a wrong-venue save is the failure mode under investigation.</t>
  </si>
  <si>
    <t>E-02</t>
  </si>
  <si>
    <t>Names are trimmed and support punctuation / Unicode</t>
  </si>
  <si>
    <t>Leading and trailing spaces removed; apostrophes, ampersands, accents render correctly; text is never treated as HTML.</t>
  </si>
  <si>
    <t>Input "   O'Bird &amp; Co. Café   " (23 chars incl. 3 leading + 3 trailing spaces) rendered everywhere as "O'Bird &amp; Co. Café". innerHTML was "O'Bird &amp;amp; Co. Café" — correctly escaped. A venue named "&lt;b&gt;xss&lt;/b&gt;Bird" rendered as literal text with innerHTML "&amp;lt;b&amp;gt;xss&amp;lt;/b&amp;gt;Bird"; no DOM injection and no bold markup.</t>
  </si>
  <si>
    <t>Screenshots ss_4626jcd9x, ss_3905w6k1u, ss_7641y9nuy; textContent vs innerHTML comparison.</t>
  </si>
  <si>
    <t>No errors.</t>
  </si>
  <si>
    <t>Test venues "O'Bird &amp; Co. Café" and "&lt;b&gt;xss&lt;/b&gt;Bird" were left in the 29penstation account and should be cleaned up.</t>
  </si>
  <si>
    <t>E-03</t>
  </si>
  <si>
    <t>Maximum-length names remain usable</t>
  </si>
  <si>
    <t>Desktop 1920x897 only; 390x844 and 390x700 NOT verified</t>
  </si>
  <si>
    <t>Input stops at a defined maximum; long names wrap or truncate without hiding actions or causing horizontal scrolling, at desktop and both mobile viewports.</t>
  </si>
  <si>
    <t>maxlength attributes: new-venue venue-name 160, onboarding display-name 120, onboarding business-name 160, onboarding venue-name 160 — all defined. A 120-character venue name truncated with an ellipsis in the setup badge, preview panel and /account card; 'Continue setup' stayed reachable; document.scrollWidth 1905 vs window.innerWidth 1920, so no horizontal page overflow.</t>
  </si>
  <si>
    <t>el.maxLength readings; scrollWidth/innerWidth measurement; screenshot ss_4771d9n59.</t>
  </si>
  <si>
    <t>TOOLING LIMITATION, not an app finding: resize_window reported success for 1440x900, 800x600, 390x844 and 390x700 but window.innerWidth stayed at 1920 on every attempt. The mobile half of E-03 must be re-run in a browser that can actually resize.</t>
  </si>
  <si>
    <t>Duplicate venue name</t>
  </si>
  <si>
    <t>The duplicate is either rejected with a clear message or created as a separately identifiable venue; the existing venue and plan are never silently changed.</t>
  </si>
  <si>
    <t>Creating a second venue named exactly 'Testing' was rejected inline with "Birdee could not create that venue. Try a different name." and a red input state. Venue count was unchanged and only one 'Testing' entry existed before and after. The original venue's /api/venue-state updatedAt was identical (2026-07-30T07:29:47.0199Z), proving no write occurred.</t>
  </si>
  <si>
    <t>Screenshot ss_64961s443; venue-count DOM query; updatedAt comparison.</t>
  </si>
  <si>
    <t>The manifest lists E-04 as a deferred product-policy decision. The observed policy is REJECT. Recording the factual behaviour resolves the technical half; the product owner still confirms the policy.</t>
  </si>
  <si>
    <t>E-05</t>
  </si>
  <si>
    <t>Rapid repeated submissions</t>
  </si>
  <si>
    <t>Loading states prevent duplicate venue, onboarding or plan records; at most one successful operation per intended submission.</t>
  </si>
  <si>
    <t>Double-clicked the venue-creation submit, three in-wizard Next buttons, and the final 'See my profit' save on a disposable venue 'RapidClickTest'. Each advanced exactly one step. Venue count went 7 to 8 with no repeated names. The final save produced a single updatedAt (2026-07-30T08:47:39.732956Z) and a dashboard of -$5,120 matching the one intended dataset, with no partial fields.</t>
  </si>
  <si>
    <t>Screenshots ss_0496sr084, ss_1712u9vci, ss_8129vy770, ss_2092gk2lv, ss_3626jxc2b; before/after venue counts; single updatedAt.</t>
  </si>
  <si>
    <t>Test venue 'RapidClickTest' was left in the account and should be cleaned up.</t>
  </si>
  <si>
    <t>E-12</t>
  </si>
  <si>
    <t>No privileged secrets in the browser</t>
  </si>
  <si>
    <t>Authenticated Chrome; /app, /account, /setup</t>
  </si>
  <si>
    <t>Only the Supabase public URL and publishable/anon credential are browser-available; no service-role key or Google client secret is reachable.</t>
  </si>
  <si>
    <t>Zero matches for service_role, SUPABASE_SERVICE, client_secret, GOOGLE_CLIENT_SECRET, SECRET_KEY, sb_secret, or the JWT claim "role":"service_role" across document HTML, every same-origin script bundle fetched and regex-searched (main-app.js, app-pages-internals.js, page.js, layout.js, polyfills.js, webpack.js), window globals, localStorage, sessionStorage, and the /api/venue-state request headers and response body. localStorage held only app-state keys (little-birdee-week, ally-supports-cache); no session tokens client-side, consistent with httpOnly cookies. .env.example declares only the two NEXT_PUBLIC_ variables as browser-public.</t>
  </si>
  <si>
    <t>Regex sweeps returned empty match arrays on all three pages and all bundles; /api/venue-state 200, 1016-byte body, no credential headers.</t>
  </si>
  <si>
    <t>39 requests on /app, all _next static chunks, fonts, /api/venue-state, plus unrelated chrome-extension traffic. No credential or auth-config errors.</t>
  </si>
  <si>
    <t>Window properties were not enumerated one by one (1250 of them); coverage came from a full regex sweep of HTML and all loaded bundle text, which catches a string-literal secret on any object.</t>
  </si>
  <si>
    <t>E-10</t>
  </si>
  <si>
    <t>External redirect injection is rejected</t>
  </si>
  <si>
    <t>Authenticated Chrome (specification requires signed-out)</t>
  </si>
  <si>
    <t>The app never redirects to example.com; only safe same-origin paths are accepted as callback destinations.</t>
  </si>
  <si>
    <t>/auth/callback?next=//example.com and ?next=https://example.com both resolved to http://localhost:3000/app?period=this-week. The browser never reached example.com. Code review of app/auth/callback/route.ts shows next is accepted only when it startsWith('/') and not '//', otherwise it falls back to /auth/finish-setup — a correct same-origin allowlist. However, with no 'code' parameter the handler skips the branch that consumes 'next' entirely, so the live run exercised the fallback path, not the validation path.</t>
  </si>
  <si>
    <t>location.href after each navigation; app/auth/callback/route.ts redirect-validation logic.</t>
  </si>
  <si>
    <t>Deferred portion: the signed-out run with a real 'code' parameter. Signing out was prohibited because the session password is unrecoverable. Static review supports a PASS but does not replace the live check.</t>
  </si>
  <si>
    <t>Not run in this batch — blocked by the missing Account A credentials and the no-sign-out constraint</t>
  </si>
  <si>
    <t>Why it could not run</t>
  </si>
  <si>
    <t/>
  </si>
  <si>
    <t>C-11</t>
  </si>
  <si>
    <t>Create Account B as an independent tenant</t>
  </si>
  <si>
    <t>Needs a second confirmed identity. Supabase is a hosted project with email confirmation enabled, so a new account requires inbox access that this run did not have.</t>
  </si>
  <si>
    <t>C-12</t>
  </si>
  <si>
    <t>Account B cannot see Account A through the UI</t>
  </si>
  <si>
    <t>Depends on C-11.</t>
  </si>
  <si>
    <t>C-14</t>
  </si>
  <si>
    <t>Returning to Account A proves no cross-tenant mutation</t>
  </si>
  <si>
    <t>Depends on C-11 and on Account A credentials.</t>
  </si>
  <si>
    <t>A-01</t>
  </si>
  <si>
    <t>Incorrect password</t>
  </si>
  <si>
    <t>Requires signing out. The only session's password is unrecorded, so signing out would end the run.</t>
  </si>
  <si>
    <t>A-02</t>
  </si>
  <si>
    <t>Unknown email and account-discovery resistance</t>
  </si>
  <si>
    <t>Requires signing out. Same reason as A-01.</t>
  </si>
  <si>
    <t>A-04</t>
  </si>
  <si>
    <t>Password mismatch and minimum length</t>
  </si>
  <si>
    <t>Requires a live recovery link from an inbox this run cannot open.</t>
  </si>
  <si>
    <t>A-05</t>
  </si>
  <si>
    <t>Successful password reset</t>
  </si>
  <si>
    <t>Depends on A-04.</t>
  </si>
  <si>
    <t>E-01</t>
  </si>
  <si>
    <t>Onboarding blank and whitespace-only values</t>
  </si>
  <si>
    <t>Requires a fresh unonboarded account. Same reason as C-11.</t>
  </si>
  <si>
    <t>E-06</t>
  </si>
  <si>
    <t>Refresh during onboarding</t>
  </si>
  <si>
    <t>E-08</t>
  </si>
  <si>
    <t>Network loss during final Setup save</t>
  </si>
  <si>
    <t>Requires DevTools network-conditions offline emulation, which the Chrome connector does not expose.</t>
  </si>
  <si>
    <t>E-11</t>
  </si>
  <si>
    <t>Logout, browser Back, and two open tabs</t>
  </si>
  <si>
    <t>E-17</t>
  </si>
  <si>
    <t>Loading, error, and retry clarity</t>
  </si>
  <si>
    <t>Requires DevTools throttling and request blocking, which the Chrome connector does not expose.</t>
  </si>
  <si>
    <t>Group 1 manual test checklist</t>
  </si>
  <si>
    <t>This sheet contains all 60 Group 1 test cases. Complete Findings yourself with PASS, FAIL, BLOCKED, or DEFERRED plus what you observed. Passwords must stay outside this workbook.</t>
  </si>
  <si>
    <t>Priority manual batch — these 15 cases still need a complete result: C-11, C-12, C-14, A-01, A-02, A-04, A-05, E-01, E-03, E-06, E-07, E-08, E-10, E-11, E-17. Their rows are highlighted in amber below.</t>
  </si>
  <si>
    <t>Test case ID</t>
  </si>
  <si>
    <t>Purpose</t>
  </si>
  <si>
    <t>Prerequisites</t>
  </si>
  <si>
    <t>Steps to perform</t>
  </si>
  <si>
    <t>Expected result</t>
  </si>
  <si>
    <t>Findings</t>
  </si>
  <si>
    <t>Correct application and clean browser context</t>
  </si>
  <si>
    <t>The active C-drive project is available; you can start the app and use Chrome Console and Network tools.</t>
  </si>
  <si>
    <t>1. Confirm the server was started from C:\Users\User\Desktop\Apex\Little Birdie.
2. Open a private/incognito window.
3. Open http://localhost:3000.
4. Open the browser console and Network panel.</t>
  </si>
  <si>
    <t>• The welcome screen opens from the C-drive checkout.
• There are no red runtime errors.
• Requests are made to the expected Little Birdee localhost and Supabase project.
• No customer session or customer data is already present.</t>
  </si>
  <si>
    <t>Protected pages reject an unauthenticated visitor</t>
  </si>
  <si>
    <t>P-01 complete. Remain signed out with no active Little Birdee session.</t>
  </si>
  <si>
    <t>While signed out, directly open each URL:
1. http://localhost:3000/onboarding
2. http://localhost:3000/setup
3. http://localhost:3000/app?period=this-week
4. http://localhost:3000/account</t>
  </si>
  <si>
    <t>Every URL ends at /auth?mode=login. No protected business, venue, or financial content flashes before the redirect.</t>
  </si>
  <si>
    <t>Venue API rejects an unauthenticated visitor</t>
  </si>
  <si>
    <t>P-01 complete. Remain signed out and keep the Network panel available.</t>
  </si>
  <si>
    <t>1. Stay signed out.
2. Open http://localhost:3000/api/venue-state.
3. Inspect the Network response if the browser formats the JSON.</t>
  </si>
  <si>
    <t>The response is HTTP 401 and says the user must sign in. It contains no business, venue, plan, or actual data.</t>
  </si>
  <si>
    <t>Google launch dependency is recorded</t>
  </si>
  <si>
    <t>P-01 complete. Remain signed out and know whether Google sign-in is part of the current launch promise.</t>
  </si>
  <si>
    <t>1. On /auth?mode=signup, inspect the Google sign-in control.
2. Record whether a Google consent page opens.</t>
  </si>
  <si>
    <t>The control settles to disabled Google sign-in coming soon copy and cannot open a consent flow.
Expected after activation: The Google consent journey opens. Run section 10.
Do not mark the core email journey failed merely because the provider is deliberately disabled. If Google is promised for this release, mark Group 1 BLOCKED until section 10 passes.</t>
  </si>
  <si>
    <t>Unified account gateway and account choices</t>
  </si>
  <si>
    <t>P-01 and P-02 complete. Use a signed-out browser.</t>
  </si>
  <si>
    <t>1. While signed out, open /.
2. Confirm the browser opens /auth?mode=signup.
3. Read the product promise and inspect the Create account and Log in tabs.
4. Switch to login using the top tab and return to signup using the link below the form.</t>
  </si>
  <si>
    <t>• The product promise and account form appear together as one complete gateway.
• Create account selects /auth?mode=signup and shows name, email, and password fields.
• Log in selects /auth?mode=login and shows email and password fields.
• The selected tab, URL, keyboard focus, and visible form remain synchronized.</t>
  </si>
  <si>
    <t>Create-account form and basic validation</t>
  </si>
  <si>
    <t>S-01 complete. Stay on the Create account form.</t>
  </si>
  <si>
    <t>1. Open /auth?mode=signup.
2. Confirm the page contains name, email, and password fields; a Google option; and a login link.
3. Attempt to submit with every field blank.
4. Enter an invalid email.
5. Enter a password shorter than eight characters.
6. Correct the email and password.</t>
  </si>
  <si>
    <t>• Fields have visible labels.
• The browser blocks blank required fields.
• The browser identifies the invalid email.
• The browser blocks a password shorter than eight characters.
• Correcting the values clears the browser validation and permits submission.
• Password characters are masked.</t>
  </si>
  <si>
    <t>Create Account A with email</t>
  </si>
  <si>
    <t>S-02 complete. Have an unused, accessible email address and choose a test password that you store securely outside this workbook.</t>
  </si>
  <si>
    <t>1. Enter Account A's name, unique email, and password.
2. Press Create my Little Birdee once.
3. Observe the loading state.
4. Wait for the response.</t>
  </si>
  <si>
    <t>• The button shows a clear in-progress state and cannot create repeated accounts through accidental rapid clicks.
• When email confirmation is enabled, the page changes to Check your email and does not silently log the user into protected content.
• The message explains that the confirmation link is required.
• A single Account A identity appears in Authentication → Users.</t>
  </si>
  <si>
    <t>Unconfirmed email cannot use the protected journey</t>
  </si>
  <si>
    <t>S-03 complete but do not open the confirmation email yet. Have a second private tab available.</t>
  </si>
  <si>
    <t>1. Before opening the confirmation link, open /auth?mode=login in another private tab.
2. Try Account A's email and password.
3. Directly open /onboarding.</t>
  </si>
  <si>
    <t>• Login does not grant a usable authenticated session before confirmation.
• The user receives a short, understandable authentication error.
• /onboarding returns to /auth?mode=login.
• No business details are exposed.
If the test Supabase project deliberately disables email confirmation, record NOT RUN — confirmation disabled by environment and obtain explicit launch approval for that configuration.</t>
  </si>
  <si>
    <t>Confirm Account A's email</t>
  </si>
  <si>
    <t>S-03 complete. You can access Account A's inbox and the confirmation email.</t>
  </si>
  <si>
    <t>1. Open Account A's confirmation email.
2. Confirm the sender and destination are expected.
3. Open the confirmation link once.
4. Wait for the callback to finish.</t>
  </si>
  <si>
    <t>• The link returns to the same Little Birdee origin through /auth/callback.
• The authenticated new user lands on /onboarding.
• The browser does not remain on a blank callback page.
• The URL never redirects to an unrelated external domain.</t>
  </si>
  <si>
    <t>Auth bootstrap creates one tenant skeleton</t>
  </si>
  <si>
    <t>S-05 complete. Optional read-only Supabase access is available if you want to verify exact record counts.</t>
  </si>
  <si>
    <t>Precondition: Account A is confirmed.
1. Before completing onboarding, optionally inspect Supabase.
2. Find Account A by email.
3. Follow its user ID through the relevant tables.</t>
  </si>
  <si>
    <t>• There is one Auth user and one matching profiles row.
• There is one placeholder business and one owner business_members row.
• There is one placeholder venue with one venue_settings row.
• The records use stable IDs rather than the displayed names as relationships.
• No second business or venue was created by confirmation or refresh.</t>
  </si>
  <si>
    <t>Complete Account A business onboarding</t>
  </si>
  <si>
    <t>S-06 complete. Account A is confirmed and signed in. Have the Account A business details from UAT section 4.3.</t>
  </si>
  <si>
    <t>1. On /onboarding, wait for the form to finish loading.
2. Confirm the name is prefilled from account creation.
3. Select Café / Restaurant.
4. Enter North Star Café.
5. Enter Surry Hills.
6. Confirm the currency note says Australian dollars and that GST choices come with revenue.
7. Press Next: my numbers once.</t>
  </si>
  <si>
    <t>• The form cannot continue while a required field is blank.
• Saving has a visible loading state.
• The browser opens /setup?from=onboarding.
• The saved profile, business, venue, and industry values match the trimmed entries.
• profiles.onboarding_completed_at is populated.
• No duplicate business or venue is created.</t>
  </si>
  <si>
    <t>First Setup opens for the correct venue</t>
  </si>
  <si>
    <t>S-07 complete. Account A is signed in and Surry Hills is the current venue.</t>
  </si>
  <si>
    <t>1. On Setup, confirm the first question is revenue.
2. Confirm the four-step progress indicator is visible.
3. Confirm the revenue step has no bottom Back button.
4. Confirm Exit setup and Ask Birdee are available.
5. At desktop and mobile widths, scroll to the final field and bottom action.</t>
  </si>
  <si>
    <t>• Revenue is the first Setup step for Surry Hills.
• No misleading Back button appears on the first revenue step.
• The active step and next action are clear.
• The final field is not hidden behind fixed bottom actions.
• Ask Birdee can be expanded and collapsed.</t>
  </si>
  <si>
    <t>Save Dataset A as the first Surry Hills plan</t>
  </si>
  <si>
    <t>S-08 complete. Have Dataset A from UAT section 4.4 ready.</t>
  </si>
  <si>
    <t>1. Enter Dataset A.
2. Use the Setup Next buttons through all four screens.
3. On each screen, check that the main displayed total matches the field.
4. On the last screen, press See my profit once.</t>
  </si>
  <si>
    <t>• The app waits while saving and does not double-submit.
• The browser opens /app?period=this-week.
• The dashboard loads without an error.
• The current venue's latest plan contains $11,000 entered revenue, $2,000 wages, 30% COGS, and $1,500 other costs.
• The forecast result is consistent with approximately +$3,500 estimated EBITDA.</t>
  </si>
  <si>
    <t>Saved plan reloads after refresh</t>
  </si>
  <si>
    <t>S-09 complete. Dataset A has been saved once for Surry Hills.</t>
  </si>
  <si>
    <t>1. Refresh the dashboard twice.
2. Open /setup.
3. Step through all four screens without saving.</t>
  </si>
  <si>
    <t>• Refresh does not return the user to onboarding or erase the plan.
• Setup reloads Dataset A from the selected Surry Hills venue.
• The dashboard and Setup do not revert to unrelated demo defaults.
• No duplicate plan is created merely by viewing Setup or refreshing.</t>
  </si>
  <si>
    <t>Account page identifies the current venue</t>
  </si>
  <si>
    <t>S-10 complete. Account A is signed in and Surry Hills has a saved plan.</t>
  </si>
  <si>
    <t>1. Open /account through the application navigation.
2. Confirm the venue selector sits immediately beside the Little Birdee logo in the shared header.
3. Read the greeting, signed-in identity, provider, member date, access, venue list, and logout action.
4. Open the header venue selector.</t>
  </si>
  <si>
    <t>• The greeting uses Alex Test.
• The header selector shows Surry Hills as the current venue and North Star Café as its business where space permits.
• The selector is left-aligned beside the logo rather than centred in the page.
• Surry Hills is shown once and marked Current.
• The signed-in email, sign-in method, membership date, and Owner access are visible.
• The selector lists only authorized venues and includes Add another venue.
• Start venue setup and Log out are available.</t>
  </si>
  <si>
    <t>Logout and normal returning-user login</t>
  </si>
  <si>
    <t>S-11 complete. You know Account A's current password or can reset it through its inbox.</t>
  </si>
  <si>
    <t>1. On /account, press Log out.
2. Confirm the browser opens /auth?mode=login.
3. Try to open /app?period=this-week; confirm it returns to login.
4. Log in with Account A's email and password.</t>
  </si>
  <si>
    <t>• Logout ends the usable local session.
• Protected pages no longer open after logout.
• Correct credentials return through /auth/finish-setup.
• Because onboarding and a locked plan exist, Account A returns to /app?period=this-week.
• Surry Hills and Dataset A remain selected and unchanged.</t>
  </si>
  <si>
    <t>Setup viewing does not create a version</t>
  </si>
  <si>
    <t>S-10 complete. Account A is signed in with Surry Hills current and plan version 1 saved.</t>
  </si>
  <si>
    <t>1. Record the current Surry Hills count and highest version in weekly_plans, if Supabase access is available.
2. Open /setup.
3. Move forward and backward through the four screens.
4. Press Exit setup without completing the final save.
5. Return to the dashboard.</t>
  </si>
  <si>
    <t>• The saved Dashboard plan remains Dataset A.
• Opening, navigating, and exiting Setup do not create a new locked plan.
• The database count and highest version remain unchanged.</t>
  </si>
  <si>
    <t>A second Setup submission creates version 2</t>
  </si>
  <si>
    <t>C-01 complete. Have Dataset A2 from UAT section 4.4 ready.</t>
  </si>
  <si>
    <t>1. Open /setup.
2. Enter Dataset A2 by changing only Monday from $1,000 to $1,200.
3. Leave every other value unchanged.
4. Complete all four steps and press See my profit.
5. Refresh the dashboard.</t>
  </si>
  <si>
    <t>• The latest plan totals $11,200.
• The forecast is approximately +$3,627 after whole-dollar display rounding.
• A new locked plan exists for Surry Hills with version = 2.
• The first plan still exists as locked version 1.
• Version 2 has exactly seven daily rows.
• Version 1's Monday remains $1,000; version 2's Monday is $1,200.</t>
  </si>
  <si>
    <t>Earlier locked plan remains immutable</t>
  </si>
  <si>
    <t>C-02 complete. Read-only Supabase access is recommended to compare locked plan versions.</t>
  </si>
  <si>
    <t>1. In Supabase, open Surry Hills weekly plan version 1.
2. Record its header and seven day rows.
3. Compare them with the values recorded before C-02.
4. If an authorized engineering tester is performing a non-production security check, attempt to edit one locked row and then cancel or roll back any allowed operation.</t>
  </si>
  <si>
    <t>• Version 1 and all seven of its daily rows are unchanged.
• Version 2 points to a new plan ID.
• The application reads version 2 as latest.
• Direct mutation or deletion of locked history is rejected.</t>
  </si>
  <si>
    <t>Plan save is complete and internally consistent</t>
  </si>
  <si>
    <t>C-02 complete. Read-only Supabase access is recommended for plan, allocation, assumption, and audit checks.</t>
  </si>
  <si>
    <t>1. Inspect Surry Hills version 2.
2. Count its weekly_plan_days.
3. Compare the day amounts with Dataset A2.
4. Inspect its financial assumptions and audit evidence.</t>
  </si>
  <si>
    <t>• There are exactly seven day rows numbered Monday through Sunday.
• Daily revenue sums to $11,200.
• The plan header contains the same GST basis, COGS, labour, and other-cost settings shown in Setup.
• The relevant assumptions have new versioned records and retain their earlier records.
• Audit evidence identifies the affected venue and record.</t>
  </si>
  <si>
    <t>Browser-local values do not override the server plan</t>
  </si>
  <si>
    <t>C-02 complete. You can clear only Local Storage in DevTools without deleting server data.</t>
  </si>
  <si>
    <t>1. While Account A is logged in, use DevTools to clear Local Storage only.
2. Keep cookies intact.
3. Refresh /setup.
4. Recheck every Dataset A2 value.</t>
  </si>
  <si>
    <t>• Setup still loads Dataset A2 from Supabase.
• The plan is not replaced by old browser defaults.
• Clearing Local Storage creates no plan version.
• Server persistence remains authoritative for an already configured venue.</t>
  </si>
  <si>
    <t>C-05 complete. Account A is signed in and Surry Hills remains configured.</t>
  </si>
  <si>
    <t>1. Open /account.
2. Press Start venue setup.
3. Confirm the browser opens /venues/new.
4. Read the reason each venue needs its own Setup.
5. Enter Newtown as the venue name.
6. Press Next: venue numbers once.</t>
  </si>
  <si>
    <t>• The new-venue page identifies this as Step 1 of 2 and explains that each venue keeps separate profit inputs.
• Newtown is created once, becomes the selected venue, and the app opens /setup?from=new-venue.
• Setup identifies Newtown and explains that all four steps are required before Birdee can calculate that venue's profit.
• The list contains Surry Hills and Newtown once each.
• Newtown has its own venue ID and settings row.
• Surry Hills remains present and unchanged.</t>
  </si>
  <si>
    <t>An unfinished venue remains visible and resumes Setup</t>
  </si>
  <si>
    <t>C-06 complete. Newtown exists but its financial setup has not been completed.</t>
  </si>
  <si>
    <t>1. With Newtown's Setup open, press Exit setup before saving the final plan.
2. Confirm the browser returns to /account?setup=pending.
3. Inspect the Newtown row and the header selector.
4. Select Newtown again from the header or press Finish setup.</t>
  </si>
  <si>
    <t>• The Account page explains that Newtown still needs Setup.
• Newtown remains visible and is labelled Setup required rather than disappearing or appearing ready.
• Selecting the unfinished venue returns to /setup?from=venue-switch.
• Dataset A or A2 is not presented as Newtown's saved server plan.
• No Surry Hills plan is copied merely by creating or selecting Newtown.
• The user receives a clear recovery path rather than a broken or empty dashboard.
Note: a legacy browser-local week may prefill a brand-new venue as a convenience. It must not become authoritative until See my profit is pressed, and it must not be described as an already saved Newtown plan.</t>
  </si>
  <si>
    <t>C-07 complete. Have Dataset N from UAT section 4.4 ready.</t>
  </si>
  <si>
    <t>1. Enter Dataset N in Setup.
2. Complete the four steps.
3. Press See my profit.
4. Refresh the dashboard.
5. Return to /account and reopen the header venue selector.</t>
  </si>
  <si>
    <t>• Newtown's plan totals $4,900.
• Its estimated EBITDA is +$1,825.
• Newtown has locked version 1 with seven daily rows.
• Newtown is now labelled Ready and no longer routes back to Setup.
• Surry Hills still has its separate versions 1 and 2.</t>
  </si>
  <si>
    <t>C-08 complete. Surry Hills and Newtown both have distinct saved plans.</t>
  </si>
  <si>
    <t>1. Open the venue selector beside the Little Birdee logo.
2. Select Surry Hills.
3. Confirm the browser opens /app?period=this-week.
4. Open /setup and verify Dataset A2.
5. Open the shared header selector and select Newtown.
6. Open /setup and verify Dataset N.</t>
  </si>
  <si>
    <t>• Surry Hills loads $11,200 and its A2 cost assumptions.
• Newtown loads $4,900 and its N cost assumptions.
• The header label and Account-page Current marker follow the selected venue.
• Revenue, GST basis, wages, COGS, other costs, and dashboard result switch together.
• No value from one venue is written into the other.</t>
  </si>
  <si>
    <t>Current venue survives refresh and a normal relaunch</t>
  </si>
  <si>
    <t>C-09 complete. Leave Newtown selected before starting.</t>
  </si>
  <si>
    <t>1. Leave Newtown selected.
2. Refresh /account and /app.
3. Close the browser normally without clearing cookies.
4. Reopen the browser and log in if required.</t>
  </si>
  <si>
    <t>• Newtown remains current for the local browser session.
• If login is required, /auth/finish-setup selects an authorized venue and loads a valid plan.
• The selected venue is never an unauthorized or deleted venue.
• The little-birdee-venue cookie is scoped to the app, HTTP-only, and SameSite Lax. It is Secure in production; localhost may show it without Secure.</t>
  </si>
  <si>
    <t>Account A's journey is complete. Have a second unused, accessible email and a separately stored password for Account B.</t>
  </si>
  <si>
    <t>1. Log out Account A.
2. In a separate clean browser profile, repeat S-03 to S-09 for Account B.
3. Use Harbour Bakehouse, Manly, and Dataset B.</t>
  </si>
  <si>
    <t>• Account B receives its own profile, business, venue, settings, and plan IDs.
• Account B's Manly dashboard is approximately +$1,500.
• Account A's businesses and venues never appear.</t>
  </si>
  <si>
    <t>C-11 complete. Accounts A and B exist as independent confirmed tenants.</t>
  </si>
  <si>
    <t>1. While logged in as Account B, open /account.
2. Inspect all listed businesses and venues.
3. Search the rendered page for North Star, Surry Hills, and Newtown.
4. Open Dashboard and Setup.</t>
  </si>
  <si>
    <t>• Only Harbour Bakehouse and Manly appear.
• Account B loads Dataset B, not A2 or N.
• Account A names and amounts are absent from HTML, controls, and network responses.</t>
  </si>
  <si>
    <t>Unauthorized venue selection is rejected</t>
  </si>
  <si>
    <t>C-11 complete. Have Account B signed in plus DevTools or an approved request-manipulation method.</t>
  </si>
  <si>
    <t>1. Copy Surry Hills' venue ID from Supabase while Account A is the reference account.
2. Log in as Account B.
3. In DevTools, change the hidden venueId value in Account B's venue-switch form to Surry Hills' ID.
4. Submit the modified form.
5. Reopen /account and /app.</t>
  </si>
  <si>
    <t>• The app redirects to /account?error=venue.
• It says That venue is not available to this account.
• Current venue remains Manly.
• No Account A data is returned or changed.
If DevTools editing is not available, record this case as BLOCKED and require an engineering-level RLS test before sign-off.</t>
  </si>
  <si>
    <t>C-12 and C-13 complete. You can sign back into Account A.</t>
  </si>
  <si>
    <t>1. Log out Account B.
2. Log in as Account A in Account A's browser profile.
3. Open /account.
4. Switch between Surry Hills and Newtown and verify their saved plans.</t>
  </si>
  <si>
    <t>• Account A still has only North Star Café, Surry Hills, and Newtown.
• Surry Hills remains Dataset A2.
• Newtown remains Dataset N.
• Account B's Manly plan never appears.</t>
  </si>
  <si>
    <t>A confirmed email account exists. Stay signed out and know the correct email but intentionally use a wrong password.</t>
  </si>
  <si>
    <t>1. Log out.
2. On /auth?mode=login, enter Account A's email and an incorrect password.
3. Press Log in.</t>
  </si>
  <si>
    <t>• The user remains on the login screen.
• A short error is announced and displayed.
• No protected content opens.
• The password is not echoed in the URL, page, console, or error text.</t>
  </si>
  <si>
    <t>Stay signed out. Have an email address that is not registered.</t>
  </si>
  <si>
    <t>1. Try logging in with an address that has never been registered.
2. Request a password reset for the same unknown address.
3. Compare the visible response with a reset request for Account A.</t>
  </si>
  <si>
    <t>• Login fails without exposing sensitive account details.
• The forgot-password journey gives a neutral completion response and does not clearly disclose whether the address exists.
• No account is created by a reset request.</t>
  </si>
  <si>
    <t>Forgot-password email</t>
  </si>
  <si>
    <t>A confirmed account with an accessible inbox exists. Stay signed out.</t>
  </si>
  <si>
    <t>1. Open /auth/forgot-password.
2. Enter Account A's email.
3. Press Send reset link once.
4. Open the inbox.</t>
  </si>
  <si>
    <t>• The button shows a sending state.
• The page changes to Check your email.
• One current reset email arrives.
• Its destination returns through /auth/callback?next=/auth/reset-password.</t>
  </si>
  <si>
    <t>A-03 complete. Open a fresh recovery link and have two candidate passwords available.</t>
  </si>
  <si>
    <t>1. Open the current reset link.
2. Enter fewer than eight characters in both fields.
3. Enter two different valid-length passwords.
4. Submit each attempt.</t>
  </si>
  <si>
    <t>• The browser blocks the too-short password.
• Different valid-length passwords show Passwords do not match.
• The session is not redirected to the dashboard until both fields match and the update succeeds.</t>
  </si>
  <si>
    <t>A-04 complete. Use matching passwords that satisfy the displayed minimum length.</t>
  </si>
  <si>
    <t>1. Enter the same new valid password in both fields.
2. Press Save new password.
3. Log out.
4. Try the old password.
5. Try the new password.</t>
  </si>
  <si>
    <t>• Successful reset opens /app?period=this-week.
• The old password no longer logs in.
• The new password logs in.
• Businesses, venues, current plan versions, and amounts remain unchanged.</t>
  </si>
  <si>
    <t>Expired or reused recovery link</t>
  </si>
  <si>
    <t>A-05 complete. Retain a used recovery link, and obtain an expired link if the environment permits.</t>
  </si>
  <si>
    <t>1. Reopen the already-used reset link.
2. If the environment permits, also test a deliberately expired link.
3. Attempt to set another password.</t>
  </si>
  <si>
    <t>• An invalid link does not silently grant account access.
• The user receives a safe route back to login or forgot password.
• Existing business and plan data remain unchanged.</t>
  </si>
  <si>
    <t>Refresh and second-device persistence</t>
  </si>
  <si>
    <t>A confirmed account with saved business, venue, and plan data exists. A second browser profile or physical device is available.</t>
  </si>
  <si>
    <t>1. Log in as Account A on a second browser profile or device.
2. Open /account.
3. Select Surry Hills if needed.
4. Open /setup and verify Dataset A2.
5. Refresh repeatedly.</t>
  </si>
  <si>
    <t>• The same account, business, venue list, and server plan are available.
• No Local Storage copying is required.
• The second browser starts from an authorized venue even if it does not share the first browser's current-venue cookie.
• Refresh does not duplicate records.</t>
  </si>
  <si>
    <t>Cleared-site-data recovery</t>
  </si>
  <si>
    <t>A-07 complete. You can safely clear cookies, Local Storage, and site data, and you can recover the account through its inbox if necessary.</t>
  </si>
  <si>
    <t>1. In Account A's second browser, clear cookies, Local Storage, and site data for localhost.
2. Reopen /app?period=this-week.
3. Log in again.
4. Open /account, then verify both venues and plans.</t>
  </si>
  <si>
    <t>• Clearing site data signs the local browser out.
• Login restores Account A's server records.
• Both Surry Hills and Newtown still exist.
• Their Dataset A2 and Dataset N plans remain separate and unchanged.</t>
  </si>
  <si>
    <t>G-01</t>
  </si>
  <si>
    <t>New user creates an account with Google</t>
  </si>
  <si>
    <t>Google provider and callback URLs are configured. Use a Google account not yet linked to Little Birdee.</t>
  </si>
  <si>
    <t>1. Sign out of Little Birdee.
2. Open /auth?mode=signup.
3. Press Continue with Google after the provider has been activated.
4. Select a Google identity not previously used with Little Birdee.
5. Accept the requested consent.</t>
  </si>
  <si>
    <t>• The consent screen shows the expected Little Birdee identity and domain.
• Only basic identity scopes are requested.
• The callback returns to /onboarding.
• One Auth user and one tenant skeleton are created.</t>
  </si>
  <si>
    <t>G-02</t>
  </si>
  <si>
    <t>Google onboarding follows the same product journey</t>
  </si>
  <si>
    <t>G-01 complete. The new Google user is authenticated but has not completed Little Birdee onboarding.</t>
  </si>
  <si>
    <t>1. Complete business onboarding for the Google account.
2. Complete Setup with a small distinct test dataset.
3. Log out.</t>
  </si>
  <si>
    <t>• Google users use the same onboarding, venue, and Setup rules as email users.
• The account receives one business and one first venue.
• The plan persists after logout.</t>
  </si>
  <si>
    <t>G-03</t>
  </si>
  <si>
    <t>Returning Google login reuses the account</t>
  </si>
  <si>
    <t>G-02 complete. The Google account has completed onboarding and has saved records.</t>
  </si>
  <si>
    <t>1. On /auth?mode=login, press Continue with Google after the provider has been activated.
2. Choose the same Google identity.</t>
  </si>
  <si>
    <t>• The user returns through /auth/finish-setup.
• The existing business, venue, and plan load.
• No second business, venue, profile, or plan is created by login.</t>
  </si>
  <si>
    <t>G-04</t>
  </si>
  <si>
    <t>Cancelled Google consent</t>
  </si>
  <si>
    <t>Google provider is enabled. Stay signed out and be ready to cancel the consent screen.</t>
  </si>
  <si>
    <t>1. Start Google login again.
2. Cancel or deny consent.</t>
  </si>
  <si>
    <t>• The user returns safely to Little Birdee or can navigate back to login.
• No partial authenticated session or duplicate tenant appears.
• Email login remains available.</t>
  </si>
  <si>
    <t>G-05</t>
  </si>
  <si>
    <t>Google production-domain callback</t>
  </si>
  <si>
    <t>Google provider is enabled on the permanent production domain with production callback URLs configured.</t>
  </si>
  <si>
    <t>1. Repeat G-01 or G-03 on the permanent production domain.
2. Inspect the callback domain and final destination.</t>
  </si>
  <si>
    <t>• The OAuth callback uses the configured Supabase callback.
• Little Birdee returns to the permanent production origin, not localhost or a preview URL.
• No redirect-mismatch warning occurs.</t>
  </si>
  <si>
    <t>Use a signed-in account that can open a blank onboarding or new-venue form.</t>
  </si>
  <si>
    <t>1. With a fresh test account, clear each onboarding field in turn.
2. Enter spaces only in name, business, and venue.
3. Try to submit.</t>
  </si>
  <si>
    <t>• Blank or whitespace-only required values cannot complete onboarding.
• The user remains on the form with the entered context intact.
• No blank business or venue name is persisted.</t>
  </si>
  <si>
    <t>Names are trimmed and support normal punctuation</t>
  </si>
  <si>
    <t>Use a signed-in account at onboarding or new-venue creation. Prepare names containing spaces and normal punctuation.</t>
  </si>
  <si>
    <t>1. Use values with leading/trailing spaces.
2. Include common business punctuation and Unicode, such as O'Bird &amp; Co. Café.
3. Save onboarding or create a non-production venue.</t>
  </si>
  <si>
    <t>• Leading and trailing spaces are removed.
• Apostrophes, ampersands, accents, and normal punctuation display correctly.
• Text is not shown as HTML and cannot change the page structure.</t>
  </si>
  <si>
    <t>Use a signed-in account at onboarding or new-venue creation. Prepare values at the documented maximum lengths.</t>
  </si>
  <si>
    <t>1. Enter the longest permitted display name.
2. Enter the longest permitted business and venue names.
3. Check desktop, 390 × 844, and 390 × 700.</t>
  </si>
  <si>
    <t>• The browser stops input at the defined maximum.
• Long names wrap or truncate without hiding actions or creating horizontal scrolling.
• Account and current-venue cards remain readable.</t>
  </si>
  <si>
    <t>Use Account A with an existing venue and open the Add another venue journey. The duplicate-name policy may still require product-owner interpretation.</t>
  </si>
  <si>
    <t>1. In Account A, open Start venue setup.
2. On /venues/new, try to create another venue named Surry Hills.
3. Observe the response and venue list.</t>
  </si>
  <si>
    <t>• The app either rejects the duplicate with a clear message or creates a separately identifiable venue according to the agreed product rule.
• It never silently changes the existing Surry Hills venue or plan.
• The behavior is recorded for a product decision if duplicate names are currently allowed.</t>
  </si>
  <si>
    <t>Use a valid form that is ready to submit. Keep Network and, if available, read-only database inspection open.</t>
  </si>
  <si>
    <t>Test rapid double-clicking on:
1. Create my Little Birdee;
2. Next: my numbers;
3. See my profit;
4. Next: venue numbers.</t>
  </si>
  <si>
    <t>• Loading states prevent duplicate account, onboarding, plan, or venue records.
• At most one successful operation occurs per intended submission.
• If the network repeats a request, the app produces either one authoritative result or a clear error without partial records.</t>
  </si>
  <si>
    <t>Start onboarding, enter valid partial data, and stop before final submission.</t>
  </si>
  <si>
    <t>1. Enter unsaved onboarding changes.
2. Refresh before pressing Next: my numbers.
3. Repeat after a successful save.</t>
  </si>
  <si>
    <t>• Unsaved form edits are not mistaken for persisted data.
• After successful save, refresh routes through the completed onboarding state.
• Refresh does not create another business or venue.</t>
  </si>
  <si>
    <t>Exit Setup with unsaved changes</t>
  </si>
  <si>
    <t>Use a configured venue, open Setup, and make changes without completing the final save.</t>
  </si>
  <si>
    <t>1. Open Surry Hills Setup with Dataset A2 saved.
2. Change several values but do not reach the final save.
3. Press Exit setup.
4. Return to Setup.</t>
  </si>
  <si>
    <t>• Dataset A2 remains the saved Surry Hills plan.
• Unsaved edits do not create a plan version or overwrite any locked version.
• The dashboard remains based on Dataset A2.</t>
  </si>
  <si>
    <t>Use a configured venue and have DevTools network throttling/offline controls available before the final Setup save.</t>
  </si>
  <si>
    <t>1. In a disposable venue, enter a distinct plan.
2. Use DevTools Network conditions to go offline immediately before See my profit.
3. Press the button once.
4. Restore the network and inspect the UI and Supabase.</t>
  </si>
  <si>
    <t>• The user remains in Setup and sees a clear save error.
• Entered values remain available for retry.
• No partial locked plan, partial daily rows, or partial assumptions exist.
• Retrying once online creates one complete version.</t>
  </si>
  <si>
    <t>Invalid venue cookie recovers safely</t>
  </si>
  <si>
    <t>Use a signed-in account with a valid current venue. DevTools cookie editing or an approved engineering harness is required.</t>
  </si>
  <si>
    <t>1. While logged in, replace or remove the little-birdee-venue cookie using DevTools.
2. Refresh /app and /account.</t>
  </si>
  <si>
    <t>• A missing or invalid cookie falls back to an authorized active venue.
• The app never uses a venue from another account.
• The recovered venue ID is stored for later requests.
• If no authorized venue exists, the app shows a safe error rather than unrelated data.</t>
  </si>
  <si>
    <t>Stay signed out and prepare a login or callback URL containing an external redirect target.</t>
  </si>
  <si>
    <t>1. While signed out, open /auth/callback?next=//example.com.
2. Repeat with next=https://example.com.</t>
  </si>
  <si>
    <t>• The app does not redirect to example.com.
• Without a valid callback code, the user returns to Little Birdee login.
• Only safe same-origin paths are accepted as callback destinations.</t>
  </si>
  <si>
    <t>Use a signed-in account with two browser tabs open on protected pages.</t>
  </si>
  <si>
    <t>1. Open Dashboard and Account in two tabs.
2. Log out from the Account tab.
3. In the Dashboard tab, press Back, Forward, and refresh.</t>
  </si>
  <si>
    <t>• Cached visuals may briefly remain in browser history, but refresh cannot retrieve protected records.
• The stale tab returns to login when it needs server or API data.
• No mutation is possible after logout.</t>
  </si>
  <si>
    <t>Open Chrome DevTools with access to page source, loaded JavaScript, Network, and browser storage.</t>
  </si>
  <si>
    <t>1. Search page source, loaded JavaScript, Network requests, and browser storage for service_role, Google client secret, or other private credentials.
2. Inspect .env.example, not .env.local, when recording which variables are intended for the browser.</t>
  </si>
  <si>
    <t>• Only the Supabase public URL and publishable/anon credential are browser-available.
• No service-role key or Google client secret appears.
• Google client secret exists only in the Supabase provider configuration.</t>
  </si>
  <si>
    <t>Mobile account and authentication layouts</t>
  </si>
  <si>
    <t>Use a physical phone or a 390x844 mobile viewport. Test signup, login, onboarding, Setup, dashboard, account, and venue controls.</t>
  </si>
  <si>
    <t>At 390 × 844, test:
1. welcome;
2. create account;
3. login;
4. forgot password;
5. onboarding;
6. account;
7. new venue at /venues/new;
8. Setup.</t>
  </si>
  <si>
    <t>• No horizontal page scroll.
• The venue selector remains beside the Little Birdee mark, the current venue remains readable, and the Account action remains reachable.
• Opening the selector keeps the entire menu inside the viewport.
• Every field, error, help control, venue status, and primary action is visible.
• The new-venue explanation stacks below the form without hiding Next: venue numbers or Cancel.
• The keyboard does not permanently hide the active field or submit action.
• Touch targets are comfortably usable.
• Long content can scroll without fixed controls covering it.</t>
  </si>
  <si>
    <t>Short mobile viewport</t>
  </si>
  <si>
    <t>Use a physical phone or a 390x700 short-mobile viewport with the software keyboard available.</t>
  </si>
  <si>
    <t>Repeat the essential account, onboarding, and Setup journey at approximately 390 × 700.</t>
  </si>
  <si>
    <t>• The shared header does not wrap into an unusable second row.
• The lowest field can scroll above any fixed action dock.
• Ask Birdee remains available on all Setup steps.
• Buttons do not overlap cards or each other.
• The user can reach the primary action without browser zoom.</t>
  </si>
  <si>
    <t>Keyboard-only journey</t>
  </si>
  <si>
    <t>Use a desktop browser and disconnect the mouse or commit to keyboard-only input for the full journey.</t>
  </si>
  <si>
    <t>1. Put the mouse aside.
2. Use Tab, Shift+Tab, Space, Enter, arrow keys, and Escape.
3. Complete login, onboarding, venue switching, and Setup navigation.</t>
  </si>
  <si>
    <t>• Focus order follows the visual order.
• Every interactive control receives a visible focus indicator.
• Labels are announced with their fields.
• Select controls and buttons work from the keyboard.
• Escape closes an open Ask Birdee disclosure.
• Focus is not trapped or lost after a save error.</t>
  </si>
  <si>
    <t>Zoom and text resizing</t>
  </si>
  <si>
    <t>Use a desktop browser that supports 200% zoom and increased operating-system/browser text sizing.</t>
  </si>
  <si>
    <t>1. Test key screens at 200% browser zoom on desktop.
2. Increase browser text size where supported.</t>
  </si>
  <si>
    <t>• Content reflows without overlapping or disappearing.
• Essential actions and error messages remain reachable.
• Horizontal scrolling is not required for ordinary form completion.</t>
  </si>
  <si>
    <t>Have a journey where loading, network failure, or retry can be safely triggered without risking production data.</t>
  </si>
  <si>
    <t>1. Use network throttling to slow signup, onboarding load/save, login, venue switch, and Setup save.
2. Temporarily block a request to observe its error state.
3. Restore the request and retry.</t>
  </si>
  <si>
    <t>• Each long operation has a visible loading or disabled state.
• The user cannot accidentally submit the same action repeatedly.
• Errors explain what failed in plain language without exposing internals.
• Retrying succeeds without reloading unrelated defaults or creating duplicates.</t>
  </si>
  <si>
    <t>Passed</t>
  </si>
  <si>
    <t>This is outdated, new venue is part of setup now</t>
  </si>
  <si>
    <t>Newtown does not survive, Surry hills gets selected after closing the browser</t>
  </si>
  <si>
    <t>Even if user has already onboarded with a business name, he still can access the /onboarding page</t>
  </si>
  <si>
    <t>Blocked</t>
  </si>
  <si>
    <t>forgot password logo button navigates to /home it should navigate to /</t>
  </si>
  <si>
    <t>Deferred</t>
  </si>
  <si>
    <t>Security Audit (Deffered)</t>
  </si>
  <si>
    <t>Deferred (Final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</si>
</sst>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name val="Carlito"/>
    </font>
    <font>
      <b/>
      <sz val="20"/>
      <color rgb="FFFFFFFF"/>
      <name val="Carlito"/>
    </font>
    <font>
      <b/>
      <sz val="11"/>
      <color rgb="FF5D6B82"/>
      <name val="Carlito"/>
    </font>
    <font>
      <b/>
      <sz val="11"/>
      <color rgb="FF10203C"/>
      <name val="Carlito"/>
    </font>
    <font>
      <b/>
      <sz val="11"/>
      <color rgb="FF176B47"/>
      <name val="Carlito"/>
    </font>
    <font>
      <b/>
      <sz val="11"/>
      <color rgb="FFA7352B"/>
      <name val="Carlito"/>
    </font>
    <font>
      <b/>
      <sz val="11"/>
      <color rgb="FF8A5B00"/>
      <name val="Carlito"/>
    </font>
    <font>
      <b/>
      <sz val="14"/>
      <color rgb="FF176B47"/>
      <name val="Carlito"/>
    </font>
    <font>
      <b/>
      <sz val="11"/>
      <color rgb="FFFFFFFF"/>
      <name val="Carlito"/>
    </font>
    <font>
      <i/>
      <sz val="11"/>
      <color rgb="FF234D85"/>
      <name val="Carlito"/>
    </font>
    <font>
      <b/>
      <sz val="10"/>
      <color rgb="FFFFFFFF"/>
      <name val="Aptos"/>
    </font>
    <font>
      <i/>
      <sz val="11"/>
      <color rgb="FF10203C"/>
      <name val="Carlito"/>
    </font>
    <font>
      <b/>
      <sz val="11"/>
      <color rgb="FF234D85"/>
      <name val="Carlito"/>
    </font>
    <font>
      <b/>
      <sz val="16"/>
      <color rgb="FFFFFFFF"/>
      <name val="Carlito"/>
    </font>
    <font>
      <b/>
      <sz val="11"/>
      <color rgb="FF9A332D"/>
      <name val="Carlito"/>
    </font>
    <font>
      <b/>
      <sz val="14"/>
      <color rgb="FF8A5B00"/>
      <name val="Carlito"/>
    </font>
    <font>
      <sz val="10"/>
      <color rgb="FF10233F"/>
      <name val="Aptos"/>
    </font>
    <font>
      <b/>
      <sz val="18"/>
      <color rgb="FFFFFFFF"/>
      <name val="Aptos Display"/>
    </font>
    <font>
      <i/>
      <sz val="9"/>
      <color rgb="FF52657F"/>
      <name val="Aptos"/>
    </font>
    <font>
      <b/>
      <sz val="10"/>
      <color rgb="FF176B46"/>
      <name val="Aptos"/>
    </font>
    <font>
      <b/>
      <sz val="10"/>
      <color rgb="FF8A5A00"/>
      <name val="Aptos"/>
    </font>
    <font>
      <b/>
      <sz val="14"/>
      <color rgb="FF7A5200"/>
      <name val="Aptos"/>
    </font>
    <font>
      <i/>
      <sz val="10"/>
      <color rgb="FF335A91"/>
      <name val="Aptos"/>
    </font>
    <font>
      <b/>
      <sz val="18"/>
      <color rgb="FFFFFFFF"/>
      <name val="Carlito"/>
    </font>
    <font>
      <i/>
      <sz val="11"/>
      <color rgb="FF6B5317"/>
      <name val="Carlito"/>
    </font>
    <font>
      <sz val="10"/>
      <color rgb="FF10213E"/>
      <name val="Carlito"/>
    </font>
    <font>
      <b/>
      <sz val="10"/>
      <color rgb="FF805B00"/>
      <name val="Carlito"/>
    </font>
    <font>
      <sz val="10"/>
      <color rgb="FF196B49"/>
      <name val="Carlito"/>
    </font>
    <font>
      <b/>
      <sz val="18"/>
      <color rgb="FFFFFFFF"/>
      <name val="Carlito"/>
    </font>
    <font>
      <sz val="9"/>
      <color rgb="FF52657F"/>
      <name val="Carlito"/>
    </font>
    <font>
      <b/>
      <sz val="10"/>
      <color rgb="FFFFFFFF"/>
      <name val="Carlito"/>
    </font>
    <font>
      <sz val="10"/>
      <color rgb="FF10233F"/>
      <name val="Carlito"/>
    </font>
    <font>
      <b/>
      <sz val="10"/>
      <color rgb="FF9B1C1C"/>
      <name val="Carlito"/>
    </font>
    <font>
      <b/>
      <sz val="10"/>
      <color rgb="FF176B46"/>
      <name val="Carlito"/>
    </font>
    <font>
      <b/>
      <sz val="10"/>
      <color rgb="FF8A5A00"/>
      <name val="Carlito"/>
    </font>
    <font>
      <b/>
      <sz val="11"/>
      <color rgb="FFFFFFFF"/>
      <name val="Carlito"/>
    </font>
    <font>
      <b/>
      <sz val="18"/>
      <color rgb="FFFFFFFF"/>
      <name val="Arial"/>
    </font>
    <font>
      <b/>
      <sz val="10"/>
      <color rgb="FFFFFFFF"/>
      <name val="Arial"/>
    </font>
    <font>
      <sz val="10"/>
      <color rgb="FF10213E"/>
      <name val="Arial"/>
    </font>
    <font>
      <b/>
      <sz val="10"/>
      <color rgb="FF10213E"/>
      <name val="Arial"/>
    </font>
    <font>
      <i/>
      <sz val="10"/>
      <color rgb="FF67521D"/>
      <name val="Arial"/>
    </font>
    <font>
      <b/>
      <sz val="10"/>
      <color rgb="FF102545"/>
      <name val="Carlito"/>
    </font>
    <font>
      <b/>
      <sz val="9"/>
      <color rgb="FFA65C00"/>
      <name val="Arial"/>
    </font>
  </fonts>
  <fills count="41">
    <fill>
      <patternFill patternType="none"/>
    </fill>
    <fill>
      <patternFill patternType="gray125"/>
    </fill>
    <fill>
      <patternFill patternType="solid">
        <fgColor rgb="FF10203C"/>
      </patternFill>
    </fill>
    <fill>
      <patternFill patternType="solid">
        <fgColor rgb="FFFFF4CF"/>
      </patternFill>
    </fill>
    <fill>
      <patternFill patternType="solid">
        <fgColor rgb="FFDDF4E8"/>
      </patternFill>
    </fill>
    <fill>
      <patternFill patternType="solid">
        <fgColor rgb="FFFCE3E1"/>
      </patternFill>
    </fill>
    <fill>
      <patternFill patternType="solid">
        <fgColor rgb="FFFFF0C2"/>
      </patternFill>
    </fill>
    <fill>
      <patternFill patternType="solid">
        <fgColor rgb="FFE7EFFB"/>
      </patternFill>
    </fill>
    <fill>
      <patternFill patternType="solid">
        <fgColor rgb="FFFCE3E1"/>
      </patternFill>
    </fill>
    <fill>
      <patternFill patternType="solid">
        <fgColor rgb="FF10203C"/>
      </patternFill>
    </fill>
    <fill>
      <patternFill patternType="solid">
        <fgColor rgb="FFFFF4CF"/>
      </patternFill>
    </fill>
    <fill>
      <patternFill patternType="solid">
        <fgColor rgb="FFDDF4E8"/>
      </patternFill>
    </fill>
    <fill>
      <patternFill patternType="solid">
        <fgColor rgb="FFFFF0C2"/>
      </patternFill>
    </fill>
    <fill>
      <patternFill patternType="solid">
        <fgColor rgb="FFE7EFFB"/>
      </patternFill>
    </fill>
    <fill>
      <patternFill patternType="solid">
        <fgColor rgb="FFDDF4E8"/>
      </patternFill>
    </fill>
    <fill>
      <patternFill patternType="solid">
        <fgColor rgb="FFE7EFFB"/>
      </patternFill>
    </fill>
    <fill>
      <patternFill patternType="solid">
        <fgColor rgb="FFFFF0C2"/>
      </patternFill>
    </fill>
    <fill>
      <patternFill patternType="solid">
        <fgColor rgb="FF10203C"/>
      </patternFill>
    </fill>
    <fill>
      <patternFill patternType="solid">
        <fgColor rgb="FF10203C"/>
      </patternFill>
    </fill>
    <fill>
      <patternFill patternType="solid">
        <fgColor rgb="FFDDF4E8"/>
      </patternFill>
    </fill>
    <fill>
      <patternFill patternType="solid">
        <fgColor rgb="FFFBE2E0"/>
      </patternFill>
    </fill>
    <fill>
      <patternFill patternType="solid">
        <fgColor rgb="FFFFF0C2"/>
      </patternFill>
    </fill>
    <fill>
      <patternFill patternType="solid">
        <fgColor rgb="FFE7EFFB"/>
      </patternFill>
    </fill>
    <fill>
      <patternFill patternType="solid">
        <fgColor rgb="FFFFF4CE"/>
      </patternFill>
    </fill>
    <fill>
      <patternFill patternType="solid">
        <fgColor rgb="FF10233F"/>
      </patternFill>
    </fill>
    <fill>
      <patternFill patternType="solid">
        <fgColor rgb="FFFFF0BD"/>
      </patternFill>
    </fill>
    <fill>
      <patternFill patternType="solid">
        <fgColor rgb="FFC6E9F5"/>
      </patternFill>
    </fill>
    <fill>
      <patternFill patternType="solid">
        <fgColor rgb="FFFFFFFF"/>
      </patternFill>
    </fill>
    <fill>
      <patternFill patternType="solid">
        <fgColor rgb="FFDDF3E7"/>
      </patternFill>
    </fill>
    <fill>
      <patternFill patternType="solid">
        <fgColor rgb="FFFBE1DF"/>
      </patternFill>
    </fill>
    <fill>
      <patternFill patternType="solid">
        <fgColor rgb="FFE7F0FC"/>
      </patternFill>
    </fill>
    <fill>
      <patternFill patternType="solid">
        <fgColor rgb="FF10213E"/>
      </patternFill>
    </fill>
    <fill>
      <patternFill patternType="solid">
        <fgColor rgb="FFFFF1C7"/>
      </patternFill>
    </fill>
    <fill>
      <patternFill patternType="solid">
        <fgColor rgb="FFE8F5EE"/>
      </patternFill>
    </fill>
    <fill>
      <patternFill patternType="solid">
        <fgColor rgb="FFFBE0E0"/>
      </patternFill>
    </fill>
    <fill>
      <patternFill patternType="solid">
        <fgColor rgb="FFFDF0D5"/>
      </patternFill>
    </fill>
    <fill>
      <patternFill patternType="solid">
        <fgColor rgb="FF10213E"/>
      </patternFill>
    </fill>
    <fill>
      <patternFill patternType="solid">
        <fgColor rgb="FFFFF8DC"/>
      </patternFill>
    </fill>
    <fill>
      <patternFill patternType="solid">
        <fgColor rgb="FFFFF1C2"/>
      </patternFill>
    </fill>
    <fill>
      <patternFill patternType="solid">
        <fgColor rgb="FFFFD56A"/>
      </patternFill>
    </fill>
    <fill>
      <patternFill patternType="solid">
        <fgColor rgb="FFFFE29A"/>
      </patternFill>
    </fill>
  </fills>
  <borders count="35">
    <border>
      <left/>
      <right/>
      <top/>
      <bottom/>
      <diagonal/>
    </border>
    <border>
      <left style="thin">
        <color rgb="FFD9E0EA"/>
      </left>
      <right style="thin">
        <color rgb="FFD9E0EA"/>
      </right>
      <top style="thin">
        <color rgb="FFD9E0EA"/>
      </top>
      <bottom style="thin">
        <color rgb="FFD9E0EA"/>
      </bottom>
      <diagonal/>
    </border>
    <border>
      <left/>
      <right style="medium">
        <color rgb="FFFCB400"/>
      </right>
      <top style="medium">
        <color rgb="FFFCB400"/>
      </top>
      <bottom/>
      <diagonal/>
    </border>
    <border>
      <left style="medium">
        <color rgb="FFFCB400"/>
      </left>
      <right/>
      <top/>
      <bottom/>
      <diagonal/>
    </border>
    <border>
      <left/>
      <right style="medium">
        <color rgb="FFFCB400"/>
      </right>
      <top/>
      <bottom/>
      <diagonal/>
    </border>
    <border>
      <left style="medium">
        <color rgb="FFFCB400"/>
      </left>
      <right/>
      <top/>
      <bottom style="medium">
        <color rgb="FFFCB400"/>
      </bottom>
      <diagonal/>
    </border>
    <border>
      <left/>
      <right style="medium">
        <color rgb="FFFCB400"/>
      </right>
      <top/>
      <bottom style="medium">
        <color rgb="FFFCB400"/>
      </bottom>
      <diagonal/>
    </border>
    <border>
      <left/>
      <right/>
      <top style="thin">
        <color rgb="FFB8CBE8"/>
      </top>
      <bottom/>
      <diagonal/>
    </border>
    <border>
      <left/>
      <right style="thin">
        <color rgb="FFB8CBE8"/>
      </right>
      <top style="thin">
        <color rgb="FFB8CBE8"/>
      </top>
      <bottom/>
      <diagonal/>
    </border>
    <border>
      <left style="thin">
        <color rgb="FFB8CBE8"/>
      </left>
      <right/>
      <top/>
      <bottom/>
      <diagonal/>
    </border>
    <border>
      <left/>
      <right style="thin">
        <color rgb="FFB8CBE8"/>
      </right>
      <top/>
      <bottom/>
      <diagonal/>
    </border>
    <border>
      <left style="thin">
        <color rgb="FFB8CBE8"/>
      </left>
      <right/>
      <top/>
      <bottom style="thin">
        <color rgb="FFB8CBE8"/>
      </bottom>
      <diagonal/>
    </border>
    <border>
      <left/>
      <right/>
      <top/>
      <bottom style="thin">
        <color rgb="FFB8CBE8"/>
      </bottom>
      <diagonal/>
    </border>
    <border>
      <left/>
      <right style="thin">
        <color rgb="FFB8CBE8"/>
      </right>
      <top/>
      <bottom style="thin">
        <color rgb="FFB8CBE8"/>
      </bottom>
      <diagonal/>
    </border>
    <border>
      <left style="thin">
        <color rgb="FFD6DEE9"/>
      </left>
      <right style="thin">
        <color rgb="FFD6DEE9"/>
      </right>
      <top style="thin">
        <color rgb="FFD6DEE9"/>
      </top>
      <bottom style="thin">
        <color rgb="FFD6DEE9"/>
      </bottom>
      <diagonal/>
    </border>
    <border>
      <left/>
      <right/>
      <top style="medium">
        <color rgb="FFFCB400"/>
      </top>
      <bottom/>
      <diagonal/>
    </border>
    <border>
      <left/>
      <right/>
      <top/>
      <bottom style="medium">
        <color rgb="FFFCB400"/>
      </bottom>
      <diagonal/>
    </border>
    <border>
      <left/>
      <right/>
      <top/>
      <bottom style="thin">
        <color rgb="FFD4DEEA"/>
      </bottom>
      <diagonal/>
    </border>
    <border>
      <left/>
      <right/>
      <top style="thin">
        <color rgb="FFD4DEEA"/>
      </top>
      <bottom style="thin">
        <color rgb="FFD4DEEA"/>
      </bottom>
      <diagonal/>
    </border>
    <border>
      <left/>
      <right/>
      <top style="thin">
        <color rgb="FFD4DEEA"/>
      </top>
      <bottom/>
      <diagonal/>
    </border>
    <border>
      <left/>
      <right/>
      <top style="medium">
        <color rgb="FFE0A100"/>
      </top>
      <bottom/>
      <diagonal/>
    </border>
    <border>
      <left/>
      <right style="medium">
        <color rgb="FFE0A100"/>
      </right>
      <top style="medium">
        <color rgb="FFE0A100"/>
      </top>
      <bottom/>
      <diagonal/>
    </border>
    <border>
      <left style="medium">
        <color rgb="FFE0A100"/>
      </left>
      <right/>
      <top/>
      <bottom/>
      <diagonal/>
    </border>
    <border>
      <left/>
      <right style="medium">
        <color rgb="FFE0A100"/>
      </right>
      <top/>
      <bottom/>
      <diagonal/>
    </border>
    <border>
      <left style="medium">
        <color rgb="FFE0A100"/>
      </left>
      <right/>
      <top/>
      <bottom style="medium">
        <color rgb="FFE0A100"/>
      </bottom>
      <diagonal/>
    </border>
    <border>
      <left/>
      <right/>
      <top/>
      <bottom style="medium">
        <color rgb="FFE0A100"/>
      </bottom>
      <diagonal/>
    </border>
    <border>
      <left/>
      <right style="medium">
        <color rgb="FFE0A100"/>
      </right>
      <top/>
      <bottom style="medium">
        <color rgb="FFE0A100"/>
      </bottom>
      <diagonal/>
    </border>
    <border>
      <left/>
      <right/>
      <top/>
      <bottom style="thin">
        <color rgb="FFD8DFEA"/>
      </bottom>
      <diagonal/>
    </border>
    <border>
      <left/>
      <right/>
      <top style="thin">
        <color rgb="FFD8DFEA"/>
      </top>
      <bottom style="thin">
        <color rgb="FFD8DFEA"/>
      </bottom>
      <diagonal/>
    </border>
    <border>
      <left/>
      <right/>
      <top style="thin">
        <color rgb="FFD8DFEA"/>
      </top>
      <bottom/>
      <diagonal/>
    </border>
    <border>
      <left style="medium">
        <color rgb="FFFCB400"/>
      </left>
      <right style="medium">
        <color rgb="FFFCB400"/>
      </right>
      <top style="medium">
        <color rgb="FFFCB400"/>
      </top>
      <bottom style="medium">
        <color rgb="FFFCB400"/>
      </bottom>
      <diagonal/>
    </border>
    <border>
      <left style="thin">
        <color rgb="FFB8CBE8"/>
      </left>
      <right style="thin">
        <color rgb="FFB8CBE8"/>
      </right>
      <top style="thin">
        <color rgb="FFB8CBE8"/>
      </top>
      <bottom style="thin">
        <color rgb="FFB8CBE8"/>
      </bottom>
      <diagonal/>
    </border>
    <border>
      <left style="medium">
        <color rgb="FFE0A100"/>
      </left>
      <right style="medium">
        <color rgb="FFE0A100"/>
      </right>
      <top style="medium">
        <color rgb="FFE0A100"/>
      </top>
      <bottom style="medium">
        <color rgb="FFE0A100"/>
      </bottom>
      <diagonal/>
    </border>
    <border>
      <left style="thin">
        <color rgb="FFE0B13A"/>
      </left>
      <right/>
      <top/>
      <bottom style="thin">
        <color rgb="FFD8DFEA"/>
      </bottom>
      <diagonal/>
    </border>
    <border>
      <left style="thin">
        <color rgb="FFE0B13A"/>
      </left>
      <right/>
      <top style="thin">
        <color rgb="FFD8DFEA"/>
      </top>
      <bottom style="thin">
        <color rgb="FFD8DFEA"/>
      </bottom>
      <diagonal/>
    </border>
  </borders>
  <cellStyleXfs count="1">
    <xf numFmtId="0" fontId="0" fillId="0" borderId="0"/>
  </cellStyleXfs>
  <cellXfs count="131">
    <xf numFmtId="0" fontId="0" fillId="0" borderId="0" xfId="0"/>
    <xf numFmtId="0" fontId="2" fillId="0" borderId="0" xfId="0" applyFont="1"/>
    <xf numFmtId="0" fontId="3" fillId="0" borderId="0" xfId="0" applyFont="1"/>
    <xf numFmtId="0" fontId="3" fillId="0" borderId="1" xfId="0" applyFont="1" applyBorder="1"/>
    <xf numFmtId="0" fontId="3" fillId="0" borderId="1" xfId="0" applyFont="1" applyBorder="1" applyAlignment="1">
      <alignment horizontal="center"/>
    </xf>
    <xf numFmtId="0" fontId="4" fillId="4" borderId="1" xfId="0" applyFont="1" applyFill="1" applyBorder="1" applyAlignment="1">
      <alignment horizontal="center"/>
    </xf>
    <xf numFmtId="0" fontId="5" fillId="5" borderId="1" xfId="0" applyFont="1" applyFill="1" applyBorder="1" applyAlignment="1">
      <alignment horizontal="center"/>
    </xf>
    <xf numFmtId="0" fontId="6" fillId="6" borderId="1" xfId="0" applyFont="1" applyFill="1" applyBorder="1" applyAlignment="1">
      <alignment horizontal="center"/>
    </xf>
    <xf numFmtId="0" fontId="8" fillId="2" borderId="1" xfId="0" applyFont="1" applyFill="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4" fillId="4" borderId="1" xfId="0" applyFont="1" applyFill="1" applyBorder="1" applyAlignment="1">
      <alignment horizontal="center" vertical="top" wrapText="1"/>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12" fillId="7" borderId="1" xfId="0" applyFont="1" applyFill="1" applyBorder="1" applyAlignment="1">
      <alignment horizontal="center" vertical="top" wrapText="1"/>
    </xf>
    <xf numFmtId="0" fontId="3" fillId="0" borderId="0" xfId="0" applyFont="1" applyAlignment="1">
      <alignment wrapText="1"/>
    </xf>
    <xf numFmtId="0" fontId="4" fillId="11" borderId="1" xfId="0" applyFont="1" applyFill="1" applyBorder="1" applyAlignment="1">
      <alignment horizontal="center"/>
    </xf>
    <xf numFmtId="0" fontId="5" fillId="8" borderId="1" xfId="0" applyFont="1" applyFill="1" applyBorder="1" applyAlignment="1">
      <alignment horizontal="center"/>
    </xf>
    <xf numFmtId="0" fontId="6" fillId="12" borderId="1" xfId="0" applyFont="1" applyFill="1" applyBorder="1" applyAlignment="1">
      <alignment horizontal="center"/>
    </xf>
    <xf numFmtId="0" fontId="8" fillId="9" borderId="1" xfId="0" applyFont="1" applyFill="1" applyBorder="1" applyAlignment="1">
      <alignment vertical="center" wrapText="1"/>
    </xf>
    <xf numFmtId="0" fontId="4" fillId="11" borderId="1" xfId="0" applyFont="1" applyFill="1" applyBorder="1" applyAlignment="1">
      <alignment horizontal="center" vertical="top" wrapText="1"/>
    </xf>
    <xf numFmtId="0" fontId="12" fillId="13" borderId="1" xfId="0" applyFont="1" applyFill="1" applyBorder="1" applyAlignment="1">
      <alignment horizontal="center" vertical="top" wrapText="1"/>
    </xf>
    <xf numFmtId="0" fontId="4" fillId="14" borderId="1" xfId="0" applyFont="1" applyFill="1" applyBorder="1" applyAlignment="1">
      <alignment horizontal="center" vertical="top" wrapText="1"/>
    </xf>
    <xf numFmtId="0" fontId="6" fillId="16" borderId="1" xfId="0" applyFont="1" applyFill="1" applyBorder="1" applyAlignment="1">
      <alignment horizontal="center" vertical="top" wrapText="1"/>
    </xf>
    <xf numFmtId="0" fontId="8" fillId="17" borderId="0" xfId="0" applyFont="1" applyFill="1" applyAlignment="1">
      <alignment wrapText="1"/>
    </xf>
    <xf numFmtId="0" fontId="0" fillId="0" borderId="0" xfId="0" applyAlignment="1">
      <alignment wrapText="1"/>
    </xf>
    <xf numFmtId="0" fontId="4" fillId="14" borderId="0" xfId="0" applyFont="1" applyFill="1" applyAlignment="1">
      <alignment horizontal="center" wrapText="1"/>
    </xf>
    <xf numFmtId="0" fontId="0" fillId="0" borderId="14" xfId="0" applyBorder="1" applyAlignment="1">
      <alignment vertical="top" wrapText="1"/>
    </xf>
    <xf numFmtId="0" fontId="3" fillId="0" borderId="14" xfId="0" applyFont="1" applyBorder="1" applyAlignment="1">
      <alignment vertical="top" wrapText="1"/>
    </xf>
    <xf numFmtId="0" fontId="8" fillId="18" borderId="14" xfId="0" applyFont="1" applyFill="1" applyBorder="1" applyAlignment="1">
      <alignment vertical="center" wrapText="1"/>
    </xf>
    <xf numFmtId="0" fontId="4" fillId="19" borderId="14" xfId="0" applyFont="1" applyFill="1" applyBorder="1" applyAlignment="1">
      <alignment vertical="top" wrapText="1"/>
    </xf>
    <xf numFmtId="0" fontId="14" fillId="20" borderId="14" xfId="0" applyFont="1" applyFill="1" applyBorder="1" applyAlignment="1">
      <alignment vertical="top" wrapText="1"/>
    </xf>
    <xf numFmtId="0" fontId="6" fillId="21" borderId="14" xfId="0" applyFont="1" applyFill="1" applyBorder="1" applyAlignment="1">
      <alignment vertical="top" wrapText="1"/>
    </xf>
    <xf numFmtId="0" fontId="4" fillId="19" borderId="14" xfId="0" applyFont="1" applyFill="1" applyBorder="1" applyAlignment="1">
      <alignment horizontal="center" vertical="top" wrapText="1"/>
    </xf>
    <xf numFmtId="0" fontId="6" fillId="21" borderId="14" xfId="0" applyFont="1" applyFill="1" applyBorder="1" applyAlignment="1">
      <alignment horizontal="center" vertical="top" wrapText="1"/>
    </xf>
    <xf numFmtId="0" fontId="16" fillId="0" borderId="0" xfId="0" applyFont="1" applyAlignment="1">
      <alignment vertical="center"/>
    </xf>
    <xf numFmtId="0" fontId="16" fillId="25" borderId="0" xfId="0" applyFont="1" applyFill="1" applyAlignment="1">
      <alignment vertical="center"/>
    </xf>
    <xf numFmtId="0" fontId="18" fillId="25" borderId="0" xfId="0" applyFont="1" applyFill="1" applyAlignment="1">
      <alignment vertical="center" wrapText="1"/>
    </xf>
    <xf numFmtId="0" fontId="10" fillId="24" borderId="0" xfId="0" applyFont="1" applyFill="1" applyAlignment="1">
      <alignment vertical="center"/>
    </xf>
    <xf numFmtId="0" fontId="10" fillId="24" borderId="0" xfId="0" applyFont="1" applyFill="1" applyAlignment="1">
      <alignment vertical="center" wrapText="1"/>
    </xf>
    <xf numFmtId="0" fontId="16" fillId="26" borderId="17" xfId="0" applyFont="1" applyFill="1" applyBorder="1" applyAlignment="1">
      <alignment vertical="top" wrapText="1"/>
    </xf>
    <xf numFmtId="0" fontId="16" fillId="27" borderId="18" xfId="0" applyFont="1" applyFill="1" applyBorder="1" applyAlignment="1">
      <alignment vertical="top" wrapText="1"/>
    </xf>
    <xf numFmtId="0" fontId="16" fillId="26" borderId="18" xfId="0" applyFont="1" applyFill="1" applyBorder="1" applyAlignment="1">
      <alignment vertical="top" wrapText="1"/>
    </xf>
    <xf numFmtId="0" fontId="16" fillId="25" borderId="19" xfId="0" applyFont="1" applyFill="1" applyBorder="1" applyAlignment="1">
      <alignment vertical="top" wrapText="1"/>
    </xf>
    <xf numFmtId="0" fontId="19" fillId="28" borderId="17" xfId="0" applyFont="1" applyFill="1" applyBorder="1" applyAlignment="1">
      <alignment vertical="top" wrapText="1"/>
    </xf>
    <xf numFmtId="0" fontId="19" fillId="28" borderId="18" xfId="0" applyFont="1" applyFill="1" applyBorder="1" applyAlignment="1">
      <alignment vertical="top" wrapText="1"/>
    </xf>
    <xf numFmtId="0" fontId="20" fillId="25" borderId="19" xfId="0" applyFont="1" applyFill="1" applyBorder="1" applyAlignment="1">
      <alignment vertical="top" wrapText="1"/>
    </xf>
    <xf numFmtId="0" fontId="16" fillId="28" borderId="0" xfId="0" applyFont="1" applyFill="1" applyAlignment="1">
      <alignment vertical="center"/>
    </xf>
    <xf numFmtId="0" fontId="16" fillId="29" borderId="0" xfId="0" applyFont="1" applyFill="1" applyAlignment="1">
      <alignment vertical="center"/>
    </xf>
    <xf numFmtId="0" fontId="16" fillId="26" borderId="19" xfId="0" applyFont="1" applyFill="1" applyBorder="1" applyAlignment="1">
      <alignment vertical="top" wrapText="1"/>
    </xf>
    <xf numFmtId="0" fontId="8" fillId="31" borderId="0" xfId="0" applyFont="1" applyFill="1" applyAlignment="1">
      <alignment vertical="center" wrapText="1"/>
    </xf>
    <xf numFmtId="0" fontId="25" fillId="0" borderId="27" xfId="0" applyFont="1" applyBorder="1" applyAlignment="1">
      <alignment vertical="top" wrapText="1"/>
    </xf>
    <xf numFmtId="0" fontId="25" fillId="0" borderId="28" xfId="0" applyFont="1" applyBorder="1" applyAlignment="1">
      <alignment vertical="top" wrapText="1"/>
    </xf>
    <xf numFmtId="0" fontId="25" fillId="0" borderId="29" xfId="0" applyFont="1" applyBorder="1" applyAlignment="1">
      <alignment vertical="top" wrapText="1"/>
    </xf>
    <xf numFmtId="0" fontId="26" fillId="32" borderId="27" xfId="0" applyFont="1" applyFill="1" applyBorder="1" applyAlignment="1">
      <alignment horizontal="center" vertical="center" wrapText="1"/>
    </xf>
    <xf numFmtId="0" fontId="26" fillId="32" borderId="28" xfId="0" applyFont="1" applyFill="1" applyBorder="1" applyAlignment="1">
      <alignment horizontal="center" vertical="center" wrapText="1"/>
    </xf>
    <xf numFmtId="0" fontId="26" fillId="32" borderId="29" xfId="0" applyFont="1" applyFill="1" applyBorder="1" applyAlignment="1">
      <alignment horizontal="center" vertical="center" wrapText="1"/>
    </xf>
    <xf numFmtId="0" fontId="27" fillId="33" borderId="27" xfId="0" applyFont="1" applyFill="1" applyBorder="1" applyAlignment="1">
      <alignment vertical="top" wrapText="1"/>
    </xf>
    <xf numFmtId="0" fontId="27" fillId="33" borderId="28" xfId="0" applyFont="1" applyFill="1" applyBorder="1" applyAlignment="1">
      <alignment vertical="top" wrapText="1"/>
    </xf>
    <xf numFmtId="0" fontId="27" fillId="33" borderId="29" xfId="0" applyFont="1" applyFill="1" applyBorder="1" applyAlignment="1">
      <alignment vertical="top" wrapText="1"/>
    </xf>
    <xf numFmtId="0" fontId="30" fillId="24" borderId="0" xfId="0" applyFont="1" applyFill="1" applyAlignment="1">
      <alignment vertical="center" wrapText="1"/>
    </xf>
    <xf numFmtId="0" fontId="31" fillId="26" borderId="0" xfId="0" applyFont="1" applyFill="1" applyAlignment="1">
      <alignment vertical="top" wrapText="1"/>
    </xf>
    <xf numFmtId="0" fontId="32" fillId="34" borderId="0" xfId="0" applyFont="1" applyFill="1" applyAlignment="1">
      <alignment vertical="top" wrapText="1"/>
    </xf>
    <xf numFmtId="0" fontId="33" fillId="28" borderId="0" xfId="0" applyFont="1" applyFill="1" applyAlignment="1">
      <alignment vertical="top" wrapText="1"/>
    </xf>
    <xf numFmtId="0" fontId="34" fillId="35" borderId="0" xfId="0" applyFont="1" applyFill="1" applyAlignment="1">
      <alignment vertical="top" wrapText="1"/>
    </xf>
    <xf numFmtId="0" fontId="30" fillId="24" borderId="0" xfId="0" applyFont="1" applyFill="1" applyAlignment="1">
      <alignment wrapText="1"/>
    </xf>
    <xf numFmtId="0" fontId="37" fillId="36" borderId="0" xfId="0" applyNumberFormat="1" applyFont="1" applyFill="1" applyBorder="1" applyAlignment="1">
      <alignment vertical="center" wrapText="1"/>
    </xf>
    <xf numFmtId="0" fontId="38" fillId="0" borderId="27" xfId="0" applyNumberFormat="1" applyFont="1" applyFill="1" applyBorder="1" applyAlignment="1">
      <alignment vertical="top" wrapText="1"/>
    </xf>
    <xf numFmtId="0" fontId="38" fillId="0" borderId="28" xfId="0" applyNumberFormat="1" applyFont="1" applyFill="1" applyBorder="1" applyAlignment="1">
      <alignment vertical="top" wrapText="1"/>
    </xf>
    <xf numFmtId="0" fontId="39" fillId="0" borderId="27" xfId="0" applyNumberFormat="1" applyFont="1" applyFill="1" applyBorder="1" applyAlignment="1">
      <alignment vertical="top" wrapText="1"/>
    </xf>
    <xf numFmtId="0" fontId="39" fillId="0" borderId="28" xfId="0" applyNumberFormat="1" applyFont="1" applyFill="1" applyBorder="1" applyAlignment="1">
      <alignment vertical="top" wrapText="1"/>
    </xf>
    <xf numFmtId="0" fontId="38" fillId="37" borderId="33" xfId="0" applyNumberFormat="1" applyFont="1" applyFill="1" applyBorder="1" applyAlignment="1">
      <alignment vertical="top" wrapText="1"/>
    </xf>
    <xf numFmtId="0" fontId="38" fillId="37" borderId="34" xfId="0" applyNumberFormat="1" applyFont="1" applyFill="1" applyBorder="1" applyAlignment="1">
      <alignment vertical="top" wrapText="1"/>
    </xf>
    <xf numFmtId="0" fontId="38" fillId="38" borderId="28" xfId="0" applyNumberFormat="1" applyFont="1" applyFill="1" applyBorder="1" applyAlignment="1">
      <alignment vertical="top" wrapText="1"/>
    </xf>
    <xf numFmtId="0" fontId="38" fillId="40" borderId="34" xfId="0" applyNumberFormat="1" applyFont="1" applyFill="1" applyBorder="1" applyAlignment="1">
      <alignment vertical="top" wrapText="1"/>
    </xf>
    <xf numFmtId="0" fontId="42" fillId="38" borderId="28" xfId="0" applyNumberFormat="1" applyFont="1" applyFill="1" applyBorder="1" applyAlignment="1">
      <alignment vertical="top" wrapText="1"/>
    </xf>
    <xf numFmtId="0" fontId="38" fillId="38" borderId="29" xfId="0" applyNumberFormat="1" applyFont="1" applyFill="1" applyBorder="1" applyAlignment="1">
      <alignment vertical="top" wrapText="1"/>
    </xf>
    <xf numFmtId="0" fontId="42" fillId="38" borderId="29" xfId="0" applyNumberFormat="1" applyFont="1" applyFill="1" applyBorder="1" applyAlignment="1">
      <alignment vertical="top" wrapText="1"/>
    </xf>
    <xf numFmtId="0" fontId="7" fillId="14" borderId="30"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3" fillId="3" borderId="0" xfId="0" applyFont="1" applyFill="1"/>
    <xf numFmtId="0" fontId="0" fillId="0" borderId="0" xfId="0"/>
    <xf numFmtId="0" fontId="9" fillId="7" borderId="31" xfId="0" applyFont="1" applyFill="1" applyBorder="1" applyAlignment="1">
      <alignment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8" fillId="2" borderId="0" xfId="0" applyFont="1" applyFill="1"/>
    <xf numFmtId="0" fontId="10" fillId="2" borderId="0" xfId="0" applyFont="1" applyFill="1" applyAlignment="1">
      <alignment horizontal="left" vertical="center"/>
    </xf>
    <xf numFmtId="0" fontId="11" fillId="3" borderId="0" xfId="0" applyFont="1" applyFill="1" applyAlignment="1">
      <alignment wrapText="1"/>
    </xf>
    <xf numFmtId="0" fontId="1" fillId="2" borderId="0" xfId="0" applyFont="1" applyFill="1" applyAlignment="1">
      <alignment horizontal="left" vertical="center"/>
    </xf>
    <xf numFmtId="0" fontId="3" fillId="10" borderId="0" xfId="0" applyFont="1" applyFill="1"/>
    <xf numFmtId="0" fontId="9" fillId="13" borderId="31" xfId="0" applyFont="1" applyFill="1" applyBorder="1" applyAlignment="1">
      <alignment vertical="center" wrapText="1"/>
    </xf>
    <xf numFmtId="0" fontId="8" fillId="9" borderId="0" xfId="0" applyFont="1" applyFill="1"/>
    <xf numFmtId="0" fontId="10" fillId="9" borderId="0" xfId="0" applyFont="1" applyFill="1" applyAlignment="1">
      <alignment horizontal="left" vertical="center"/>
    </xf>
    <xf numFmtId="0" fontId="12" fillId="15" borderId="0" xfId="0" applyFont="1" applyFill="1"/>
    <xf numFmtId="0" fontId="11" fillId="10" borderId="0" xfId="0" applyFont="1" applyFill="1" applyAlignment="1">
      <alignment wrapText="1"/>
    </xf>
    <xf numFmtId="0" fontId="1" fillId="9" borderId="0" xfId="0" applyFont="1" applyFill="1" applyAlignment="1">
      <alignment horizontal="left" vertical="center"/>
    </xf>
    <xf numFmtId="0" fontId="9" fillId="15" borderId="31" xfId="0" applyFont="1" applyFill="1" applyBorder="1" applyAlignment="1">
      <alignment vertical="center" wrapText="1"/>
    </xf>
    <xf numFmtId="0" fontId="13" fillId="18" borderId="0" xfId="0" applyFont="1" applyFill="1" applyAlignment="1">
      <alignment vertical="center"/>
    </xf>
    <xf numFmtId="0" fontId="9" fillId="22" borderId="31" xfId="0" applyFont="1" applyFill="1" applyBorder="1" applyAlignment="1">
      <alignment vertical="center" wrapText="1"/>
    </xf>
    <xf numFmtId="0" fontId="15" fillId="21" borderId="30" xfId="0" applyFont="1" applyFill="1" applyBorder="1" applyAlignment="1">
      <alignment horizontal="center" vertical="center" wrapText="1"/>
    </xf>
    <xf numFmtId="0" fontId="0" fillId="0" borderId="15" xfId="0" applyBorder="1"/>
    <xf numFmtId="0" fontId="0" fillId="0" borderId="16" xfId="0" applyBorder="1"/>
    <xf numFmtId="0" fontId="11" fillId="23" borderId="0" xfId="0" applyFont="1" applyFill="1" applyAlignment="1">
      <alignment vertical="center" wrapText="1"/>
    </xf>
    <xf numFmtId="0" fontId="17" fillId="24" borderId="0" xfId="0" applyFont="1" applyFill="1" applyAlignment="1">
      <alignment vertical="center"/>
    </xf>
    <xf numFmtId="0" fontId="18" fillId="25" borderId="0" xfId="0" applyFont="1" applyFill="1" applyAlignment="1">
      <alignment vertical="center" wrapText="1"/>
    </xf>
    <xf numFmtId="0" fontId="21" fillId="25" borderId="32" xfId="0" applyFont="1" applyFill="1" applyBorder="1" applyAlignment="1">
      <alignment horizontal="center" vertical="center" wrapText="1"/>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22" fillId="30" borderId="0" xfId="0" applyFont="1" applyFill="1" applyAlignment="1">
      <alignment vertical="center" wrapText="1"/>
    </xf>
    <xf numFmtId="0" fontId="23" fillId="31" borderId="0" xfId="0" applyFont="1" applyFill="1" applyAlignment="1">
      <alignment vertical="center"/>
    </xf>
    <xf numFmtId="0" fontId="24" fillId="32" borderId="0" xfId="0" applyFont="1" applyFill="1" applyAlignment="1">
      <alignment vertical="center" wrapText="1"/>
    </xf>
    <xf numFmtId="0" fontId="29" fillId="25" borderId="0" xfId="0" applyFont="1" applyFill="1" applyAlignment="1">
      <alignment vertical="top" wrapText="1"/>
    </xf>
    <xf numFmtId="0" fontId="35" fillId="24" borderId="0" xfId="0" applyFont="1" applyFill="1"/>
    <xf numFmtId="0" fontId="28" fillId="24" borderId="0" xfId="0" applyFont="1" applyFill="1"/>
    <xf numFmtId="0" fontId="36" fillId="36" borderId="0" xfId="0" applyNumberFormat="1" applyFont="1" applyFill="1" applyBorder="1" applyAlignment="1">
      <alignment vertical="center"/>
    </xf>
    <xf numFmtId="0" fontId="40" fillId="38" borderId="0" xfId="0" applyNumberFormat="1" applyFont="1" applyFill="1" applyBorder="1" applyAlignment="1">
      <alignment vertical="center" wrapText="1"/>
    </xf>
    <xf numFmtId="0" fontId="41" fillId="39" borderId="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rowserRetestResults" displayName="BrowserRetestResults" ref="A5:R24" totalsRowShown="0">
  <tableColumns count="18">
    <tableColumn id="1" xr3:uid="{00000000-0010-0000-0000-000001000000}" name="Run ID"/>
    <tableColumn id="2" xr3:uid="{00000000-0010-0000-0000-000002000000}" name="Agent"/>
    <tableColumn id="3" xr3:uid="{00000000-0010-0000-0000-000003000000}" name="Test ID"/>
    <tableColumn id="4" xr3:uid="{00000000-0010-0000-0000-000004000000}" name="Area"/>
    <tableColumn id="5" xr3:uid="{00000000-0010-0000-0000-000005000000}" name="Priority"/>
    <tableColumn id="6" xr3:uid="{00000000-0010-0000-0000-000006000000}" name="Result"/>
    <tableColumn id="7" xr3:uid="{00000000-0010-0000-0000-000007000000}" name="Device"/>
    <tableColumn id="8" xr3:uid="{00000000-0010-0000-0000-000008000000}" name="Viewport"/>
    <tableColumn id="9" xr3:uid="{00000000-0010-0000-0000-000009000000}" name="URL"/>
    <tableColumn id="10" xr3:uid="{00000000-0010-0000-0000-00000A000000}" name="Expected"/>
    <tableColumn id="11" xr3:uid="{00000000-0010-0000-0000-00000B000000}" name="Actual"/>
    <tableColumn id="12" xr3:uid="{00000000-0010-0000-0000-00000C000000}" name="Evidence"/>
    <tableColumn id="13" xr3:uid="{00000000-0010-0000-0000-00000D000000}" name="Console / Network"/>
    <tableColumn id="14" xr3:uid="{00000000-0010-0000-0000-00000E000000}" name="Refresh Repro"/>
    <tableColumn id="15" xr3:uid="{00000000-0010-0000-0000-00000F000000}" name="Severity"/>
    <tableColumn id="16" xr3:uid="{00000000-0010-0000-0000-000010000000}" name="Major Blocker"/>
    <tableColumn id="17" xr3:uid="{00000000-0010-0000-0000-000011000000}" name="Account Used"/>
    <tableColumn id="18" xr3:uid="{00000000-0010-0000-0000-000012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ectDisposition" displayName="DefectDisposition" ref="A4:I16" totalsRowShown="0">
  <tableColumns count="9">
    <tableColumn id="1" xr3:uid="{00000000-0010-0000-0100-000001000000}" name="Defect ID"/>
    <tableColumn id="2" xr3:uid="{00000000-0010-0000-0100-000002000000}" name="Linked Tests"/>
    <tableColumn id="3" xr3:uid="{00000000-0010-0000-0100-000003000000}" name="Priority"/>
    <tableColumn id="4" xr3:uid="{00000000-0010-0000-0100-000004000000}" name="Status"/>
    <tableColumn id="5" xr3:uid="{00000000-0010-0000-0100-000005000000}" name="Category"/>
    <tableColumn id="6" xr3:uid="{00000000-0010-0000-0100-000006000000}" name="Original finding"/>
    <tableColumn id="7" xr3:uid="{00000000-0010-0000-0100-000007000000}" name="Fix / decision"/>
    <tableColumn id="8" xr3:uid="{00000000-0010-0000-0100-000008000000}" name="Retest evidence"/>
    <tableColumn id="9" xr3:uid="{00000000-0010-0000-0100-000009000000}" name="Owner / Next Ste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JourneyTestResults" displayName="JourneyTestResults" ref="A5:R15" totalsRowShown="0">
  <tableColumns count="18">
    <tableColumn id="1" xr3:uid="{00000000-0010-0000-0200-000001000000}" name="Run ID"/>
    <tableColumn id="2" xr3:uid="{00000000-0010-0000-0200-000002000000}" name="Agent"/>
    <tableColumn id="3" xr3:uid="{00000000-0010-0000-0200-000003000000}" name="Test ID"/>
    <tableColumn id="4" xr3:uid="{00000000-0010-0000-0200-000004000000}" name="Area"/>
    <tableColumn id="5" xr3:uid="{00000000-0010-0000-0200-000005000000}" name="Priority"/>
    <tableColumn id="6" xr3:uid="{00000000-0010-0000-0200-000006000000}" name="Result"/>
    <tableColumn id="7" xr3:uid="{00000000-0010-0000-0200-000007000000}" name="Device"/>
    <tableColumn id="8" xr3:uid="{00000000-0010-0000-0200-000008000000}" name="Viewport"/>
    <tableColumn id="9" xr3:uid="{00000000-0010-0000-0200-000009000000}" name="URL / Surface"/>
    <tableColumn id="10" xr3:uid="{00000000-0010-0000-0200-00000A000000}" name="Expected"/>
    <tableColumn id="11" xr3:uid="{00000000-0010-0000-0200-00000B000000}" name="Actual"/>
    <tableColumn id="12" xr3:uid="{00000000-0010-0000-0200-00000C000000}" name="Evidence"/>
    <tableColumn id="13" xr3:uid="{00000000-0010-0000-0200-00000D000000}" name="Console / Network"/>
    <tableColumn id="14" xr3:uid="{00000000-0010-0000-0200-00000E000000}" name="Refresh Repro"/>
    <tableColumn id="15" xr3:uid="{00000000-0010-0000-0200-00000F000000}" name="Prerequisite"/>
    <tableColumn id="16" xr3:uid="{00000000-0010-0000-0200-000010000000}" name="Major Blocker"/>
    <tableColumn id="17" xr3:uid="{00000000-0010-0000-0200-000011000000}" name="Account / Record"/>
    <tableColumn id="18" xr3:uid="{00000000-0010-0000-0200-000012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ourneyDefects" displayName="JourneyDefects" ref="A4:I7" totalsRowShown="0">
  <tableColumns count="9">
    <tableColumn id="1" xr3:uid="{00000000-0010-0000-0300-000001000000}" name="Defect ID"/>
    <tableColumn id="2" xr3:uid="{00000000-0010-0000-0300-000002000000}" name="Linked Tests"/>
    <tableColumn id="3" xr3:uid="{00000000-0010-0000-0300-000003000000}" name="Priority"/>
    <tableColumn id="4" xr3:uid="{00000000-0010-0000-0300-000004000000}" name="Status"/>
    <tableColumn id="5" xr3:uid="{00000000-0010-0000-0300-000005000000}" name="Category"/>
    <tableColumn id="6" xr3:uid="{00000000-0010-0000-0300-000006000000}" name="Finding"/>
    <tableColumn id="7" xr3:uid="{00000000-0010-0000-0300-000007000000}" name="Evidence / Cause"/>
    <tableColumn id="8" xr3:uid="{00000000-0010-0000-0300-000008000000}" name="Required Action"/>
    <tableColumn id="9" xr3:uid="{00000000-0010-0000-0300-000009000000}" name="Owner / Retes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JourneyDatabaseEvidence" displayName="JourneyDatabaseEvidence" ref="A4:F22" totalsRowShown="0">
  <tableColumns count="6">
    <tableColumn id="1" xr3:uid="{00000000-0010-0000-0400-000001000000}" name="Evidence item"/>
    <tableColumn id="2" xr3:uid="{00000000-0010-0000-0400-000002000000}" name="Expected"/>
    <tableColumn id="3" xr3:uid="{00000000-0010-0000-0400-000003000000}" name="Observed"/>
    <tableColumn id="4" xr3:uid="{00000000-0010-0000-0400-000004000000}" name="Result"/>
    <tableColumn id="5" xr3:uid="{00000000-0010-0000-0400-000005000000}" name="Source"/>
    <tableColumn id="6" xr3:uid="{00000000-0010-0000-0400-000006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ferredManualTable" displayName="DeferredManualTable" ref="A5:H17" totalsRowShown="0">
  <tableColumns count="8">
    <tableColumn id="1" xr3:uid="{00000000-0010-0000-0500-000001000000}" name="Test"/>
    <tableColumn id="2" xr3:uid="{00000000-0010-0000-0500-000002000000}" name="Original priority"/>
    <tableColumn id="3" xr3:uid="{00000000-0010-0000-0500-000003000000}" name="Deferred check"/>
    <tableColumn id="4" xr3:uid="{00000000-0010-0000-0500-000004000000}" name="Why deferred"/>
    <tableColumn id="5" xr3:uid="{00000000-0010-0000-0500-000005000000}" name="Owner"/>
    <tableColumn id="6" xr3:uid="{00000000-0010-0000-0500-000006000000}" name="Status"/>
    <tableColumn id="7" xr3:uid="{00000000-0010-0000-0500-000007000000}" name="Current impact"/>
    <tableColumn id="8" xr3:uid="{00000000-0010-0000-0500-000008000000}" name="Return trigg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nualTestChecklistTable" displayName="ManualTestChecklistTable" ref="A5:F65" totalsRowShown="0">
  <tableColumns count="6">
    <tableColumn id="1" xr3:uid="{00000000-0010-0000-0600-000001000000}" name="Test case ID"/>
    <tableColumn id="2" xr3:uid="{00000000-0010-0000-0600-000002000000}" name="Purpose"/>
    <tableColumn id="3" xr3:uid="{00000000-0010-0000-0600-000003000000}" name="Prerequisites"/>
    <tableColumn id="4" xr3:uid="{00000000-0010-0000-0600-000004000000}" name="Steps to perform"/>
    <tableColumn id="5" xr3:uid="{00000000-0010-0000-0600-000005000000}" name="Expected result"/>
    <tableColumn id="6" xr3:uid="{00000000-0010-0000-0600-000006000000}" name="Finding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showGridLines="0" workbookViewId="0">
      <selection sqref="A1:H2"/>
    </sheetView>
  </sheetViews>
  <sheetFormatPr defaultRowHeight="14.25"/>
  <cols>
    <col min="1" max="1" width="16" customWidth="1"/>
    <col min="2" max="2" width="22" customWidth="1"/>
    <col min="3" max="3" width="32" customWidth="1"/>
    <col min="4" max="4" width="28" customWidth="1"/>
    <col min="5" max="5" width="20" customWidth="1"/>
    <col min="6" max="6" width="18" customWidth="1"/>
    <col min="7" max="7" width="34" customWidth="1"/>
    <col min="8" max="8" width="24" customWidth="1"/>
  </cols>
  <sheetData>
    <row r="1" spans="1:8" ht="36" customHeight="1">
      <c r="A1" s="95" t="s">
        <v>0</v>
      </c>
      <c r="B1" s="85"/>
      <c r="C1" s="85"/>
      <c r="D1" s="85"/>
      <c r="E1" s="85"/>
      <c r="F1" s="85"/>
      <c r="G1" s="85"/>
      <c r="H1" s="85"/>
    </row>
    <row r="2" spans="1:8" ht="36" customHeight="1">
      <c r="A2" s="85"/>
      <c r="B2" s="85"/>
      <c r="C2" s="85"/>
      <c r="D2" s="85"/>
      <c r="E2" s="85"/>
      <c r="F2" s="85"/>
      <c r="G2" s="85"/>
      <c r="H2" s="85"/>
    </row>
    <row r="3" spans="1:8" ht="15">
      <c r="A3" s="1" t="s">
        <v>1</v>
      </c>
      <c r="B3" s="2" t="s">
        <v>2</v>
      </c>
      <c r="D3" s="1" t="s">
        <v>3</v>
      </c>
      <c r="E3" s="2" t="s">
        <v>4</v>
      </c>
    </row>
    <row r="4" spans="1:8" ht="30">
      <c r="A4" s="1" t="s">
        <v>5</v>
      </c>
      <c r="B4" s="2" t="s">
        <v>6</v>
      </c>
      <c r="D4" s="1" t="s">
        <v>7</v>
      </c>
      <c r="E4" s="15" t="s">
        <v>8</v>
      </c>
    </row>
    <row r="5" spans="1:8" ht="30">
      <c r="A5" s="1" t="s">
        <v>9</v>
      </c>
      <c r="B5" s="2" t="s">
        <v>10</v>
      </c>
      <c r="D5" s="1" t="s">
        <v>11</v>
      </c>
      <c r="E5" s="15" t="s">
        <v>12</v>
      </c>
    </row>
    <row r="7" spans="1:8" ht="15">
      <c r="A7" s="84" t="s">
        <v>13</v>
      </c>
      <c r="B7" s="85"/>
      <c r="D7" s="84" t="s">
        <v>14</v>
      </c>
      <c r="E7" s="85"/>
      <c r="G7" s="84" t="s">
        <v>15</v>
      </c>
      <c r="H7" s="85"/>
    </row>
    <row r="8" spans="1:8" ht="15">
      <c r="A8" s="5" t="s">
        <v>16</v>
      </c>
      <c r="B8" s="4">
        <f>COUNTIF('Test Results'!$F$6:$F$24,"PASS")</f>
        <v>19</v>
      </c>
      <c r="D8" s="3" t="s">
        <v>17</v>
      </c>
      <c r="E8" s="4">
        <f>COUNTIF(Defects!$D$5:$D$16,"Resolved")+COUNTIF(Defects!$D$5:$D$16,"Closed - environment")</f>
        <v>12</v>
      </c>
      <c r="G8" s="78" t="s">
        <v>18</v>
      </c>
      <c r="H8" s="79"/>
    </row>
    <row r="9" spans="1:8" ht="15">
      <c r="A9" s="6" t="s">
        <v>19</v>
      </c>
      <c r="B9" s="4">
        <f>COUNTIF('Test Results'!$F$6:$F$24,"FAIL")</f>
        <v>0</v>
      </c>
      <c r="D9" s="3" t="s">
        <v>20</v>
      </c>
      <c r="E9" s="4">
        <f>COUNTIF(Defects!$D$5:$D$16,"Reclassified")</f>
        <v>0</v>
      </c>
      <c r="G9" s="80"/>
      <c r="H9" s="81"/>
    </row>
    <row r="10" spans="1:8" ht="15">
      <c r="A10" s="7" t="s">
        <v>21</v>
      </c>
      <c r="B10" s="4">
        <f>COUNTIF('Test Results'!$F$6:$F$24,"BLOCKED")</f>
        <v>0</v>
      </c>
      <c r="D10" s="3" t="s">
        <v>22</v>
      </c>
      <c r="E10" s="4">
        <f>COUNTIF(Defects!$D$5:$D$16,"Open")</f>
        <v>0</v>
      </c>
      <c r="G10" s="80"/>
      <c r="H10" s="81"/>
    </row>
    <row r="11" spans="1:8" ht="15">
      <c r="A11" s="3" t="s">
        <v>23</v>
      </c>
      <c r="B11" s="4">
        <f>COUNTA('Test Results'!$A$6:$A$24)</f>
        <v>19</v>
      </c>
      <c r="D11" s="3" t="s">
        <v>24</v>
      </c>
      <c r="E11" s="4">
        <f>COUNTA(Defects!$A$5:$A$16)</f>
        <v>12</v>
      </c>
      <c r="G11" s="82"/>
      <c r="H11" s="83"/>
    </row>
    <row r="14" spans="1:8" ht="15">
      <c r="A14" s="94" t="s">
        <v>25</v>
      </c>
      <c r="B14" s="85"/>
      <c r="C14" s="85"/>
      <c r="D14" s="85"/>
      <c r="E14" s="85"/>
      <c r="F14" s="85"/>
      <c r="G14" s="85"/>
      <c r="H14" s="85"/>
    </row>
    <row r="15" spans="1:8" ht="32.1" customHeight="1">
      <c r="A15" s="8" t="s">
        <v>26</v>
      </c>
      <c r="B15" s="8" t="s">
        <v>27</v>
      </c>
      <c r="C15" s="8" t="s">
        <v>28</v>
      </c>
      <c r="D15" s="8" t="s">
        <v>29</v>
      </c>
      <c r="E15" s="8" t="s">
        <v>30</v>
      </c>
      <c r="F15" s="8" t="s">
        <v>31</v>
      </c>
      <c r="G15" s="8" t="s">
        <v>32</v>
      </c>
      <c r="H15" s="8" t="s">
        <v>33</v>
      </c>
    </row>
    <row r="16" spans="1:8" ht="48" customHeight="1">
      <c r="A16" s="10" t="s">
        <v>34</v>
      </c>
      <c r="B16" s="9" t="s">
        <v>35</v>
      </c>
      <c r="C16" s="9" t="s">
        <v>36</v>
      </c>
      <c r="D16" s="9" t="s">
        <v>37</v>
      </c>
      <c r="E16" s="9" t="s">
        <v>17</v>
      </c>
      <c r="F16" s="9" t="s">
        <v>38</v>
      </c>
      <c r="G16" s="9" t="s">
        <v>39</v>
      </c>
      <c r="H16" s="9" t="s">
        <v>40</v>
      </c>
    </row>
    <row r="17" spans="1:8" ht="48" customHeight="1">
      <c r="A17" s="10" t="s">
        <v>41</v>
      </c>
      <c r="B17" s="9" t="s">
        <v>42</v>
      </c>
      <c r="C17" s="9" t="s">
        <v>43</v>
      </c>
      <c r="D17" s="9" t="s">
        <v>44</v>
      </c>
      <c r="E17" s="9" t="s">
        <v>17</v>
      </c>
      <c r="F17" s="9" t="s">
        <v>38</v>
      </c>
      <c r="G17" s="9" t="s">
        <v>45</v>
      </c>
      <c r="H17" s="9" t="s">
        <v>40</v>
      </c>
    </row>
    <row r="18" spans="1:8" ht="48" customHeight="1">
      <c r="A18" s="10" t="s">
        <v>41</v>
      </c>
      <c r="B18" s="9" t="s">
        <v>46</v>
      </c>
      <c r="C18" s="9" t="s">
        <v>47</v>
      </c>
      <c r="D18" s="9" t="s">
        <v>48</v>
      </c>
      <c r="E18" s="9" t="s">
        <v>17</v>
      </c>
      <c r="F18" s="9" t="s">
        <v>49</v>
      </c>
      <c r="G18" s="9" t="s">
        <v>50</v>
      </c>
      <c r="H18" s="9" t="s">
        <v>40</v>
      </c>
    </row>
    <row r="19" spans="1:8" ht="48" customHeight="1">
      <c r="A19" s="10" t="s">
        <v>51</v>
      </c>
      <c r="B19" s="9" t="s">
        <v>52</v>
      </c>
      <c r="C19" s="9" t="s">
        <v>53</v>
      </c>
      <c r="D19" s="9" t="s">
        <v>54</v>
      </c>
      <c r="E19" s="9" t="s">
        <v>17</v>
      </c>
      <c r="F19" s="9" t="s">
        <v>38</v>
      </c>
      <c r="G19" s="9" t="s">
        <v>55</v>
      </c>
      <c r="H19" s="9" t="s">
        <v>40</v>
      </c>
    </row>
    <row r="20" spans="1:8" ht="48" customHeight="1">
      <c r="A20" s="10" t="s">
        <v>51</v>
      </c>
      <c r="B20" s="9" t="s">
        <v>56</v>
      </c>
      <c r="C20" s="9" t="s">
        <v>57</v>
      </c>
      <c r="D20" s="9" t="s">
        <v>58</v>
      </c>
      <c r="E20" s="9" t="s">
        <v>17</v>
      </c>
      <c r="F20" s="9" t="s">
        <v>59</v>
      </c>
      <c r="G20" s="9" t="s">
        <v>60</v>
      </c>
      <c r="H20" s="9" t="s">
        <v>61</v>
      </c>
    </row>
    <row r="21" spans="1:8" ht="48" customHeight="1">
      <c r="A21" s="10" t="s">
        <v>34</v>
      </c>
      <c r="B21" s="9" t="s">
        <v>62</v>
      </c>
      <c r="C21" s="9" t="s">
        <v>63</v>
      </c>
      <c r="D21" s="9" t="s">
        <v>64</v>
      </c>
      <c r="E21" s="9" t="s">
        <v>17</v>
      </c>
      <c r="F21" s="9" t="s">
        <v>65</v>
      </c>
      <c r="G21" s="9" t="s">
        <v>66</v>
      </c>
      <c r="H21" s="9" t="s">
        <v>40</v>
      </c>
    </row>
    <row r="24" spans="1:8">
      <c r="A24" s="86" t="s">
        <v>67</v>
      </c>
      <c r="B24" s="87"/>
      <c r="C24" s="87"/>
      <c r="D24" s="87"/>
      <c r="E24" s="87"/>
      <c r="F24" s="87"/>
      <c r="G24" s="87"/>
      <c r="H24" s="88"/>
    </row>
    <row r="25" spans="1:8">
      <c r="A25" s="89"/>
      <c r="B25" s="85"/>
      <c r="C25" s="85"/>
      <c r="D25" s="85"/>
      <c r="E25" s="85"/>
      <c r="F25" s="85"/>
      <c r="G25" s="85"/>
      <c r="H25" s="90"/>
    </row>
    <row r="26" spans="1:8">
      <c r="A26" s="89"/>
      <c r="B26" s="85"/>
      <c r="C26" s="85"/>
      <c r="D26" s="85"/>
      <c r="E26" s="85"/>
      <c r="F26" s="85"/>
      <c r="G26" s="85"/>
      <c r="H26" s="90"/>
    </row>
    <row r="27" spans="1:8">
      <c r="A27" s="91"/>
      <c r="B27" s="92"/>
      <c r="C27" s="92"/>
      <c r="D27" s="92"/>
      <c r="E27" s="92"/>
      <c r="F27" s="92"/>
      <c r="G27" s="92"/>
      <c r="H27" s="93"/>
    </row>
  </sheetData>
  <mergeCells count="7">
    <mergeCell ref="A1:H2"/>
    <mergeCell ref="G8:H11"/>
    <mergeCell ref="D7:E7"/>
    <mergeCell ref="A7:B7"/>
    <mergeCell ref="G7:H7"/>
    <mergeCell ref="A24:H27"/>
    <mergeCell ref="A14:H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
  <sheetViews>
    <sheetView showGridLines="0" workbookViewId="0"/>
  </sheetViews>
  <sheetFormatPr defaultRowHeight="14.25"/>
  <cols>
    <col min="1" max="1" width="12" customWidth="1"/>
    <col min="2" max="2" width="24" customWidth="1"/>
    <col min="3" max="3" width="14" customWidth="1"/>
    <col min="4" max="4" width="20" customWidth="1"/>
    <col min="5" max="6" width="12" customWidth="1"/>
    <col min="7" max="8" width="18" customWidth="1"/>
    <col min="9" max="9" width="34" customWidth="1"/>
    <col min="10" max="10" width="44" customWidth="1"/>
    <col min="11" max="11" width="46" customWidth="1"/>
    <col min="12" max="12" width="38" customWidth="1"/>
    <col min="13" max="13" width="34" customWidth="1"/>
    <col min="14" max="14" width="16" customWidth="1"/>
    <col min="15" max="15" width="18" customWidth="1"/>
    <col min="16" max="16" width="16" customWidth="1"/>
    <col min="17" max="17" width="24" customWidth="1"/>
    <col min="18" max="18" width="44" customWidth="1"/>
  </cols>
  <sheetData>
    <row r="1" spans="1:18" ht="36" customHeight="1">
      <c r="A1" s="97" t="s">
        <v>68</v>
      </c>
      <c r="B1" s="85"/>
      <c r="C1" s="85"/>
      <c r="D1" s="85"/>
      <c r="E1" s="85"/>
      <c r="F1" s="85"/>
      <c r="G1" s="85"/>
      <c r="H1" s="85"/>
      <c r="I1" s="85"/>
      <c r="J1" s="85"/>
      <c r="K1" s="85"/>
      <c r="L1" s="85"/>
      <c r="M1" s="85"/>
      <c r="N1" s="85"/>
      <c r="O1" s="85"/>
      <c r="P1" s="85"/>
      <c r="Q1" s="85"/>
      <c r="R1" s="85"/>
    </row>
    <row r="2" spans="1:18" ht="36" customHeight="1">
      <c r="A2" s="85"/>
      <c r="B2" s="85"/>
      <c r="C2" s="85"/>
      <c r="D2" s="85"/>
      <c r="E2" s="85"/>
      <c r="F2" s="85"/>
      <c r="G2" s="85"/>
      <c r="H2" s="85"/>
      <c r="I2" s="85"/>
      <c r="J2" s="85"/>
      <c r="K2" s="85"/>
      <c r="L2" s="85"/>
      <c r="M2" s="85"/>
      <c r="N2" s="85"/>
      <c r="O2" s="85"/>
      <c r="P2" s="85"/>
      <c r="Q2" s="85"/>
      <c r="R2" s="85"/>
    </row>
    <row r="3" spans="1:18">
      <c r="A3" s="96" t="s">
        <v>69</v>
      </c>
      <c r="B3" s="85"/>
      <c r="C3" s="85"/>
      <c r="D3" s="85"/>
      <c r="E3" s="85"/>
      <c r="F3" s="85"/>
      <c r="G3" s="85"/>
      <c r="H3" s="85"/>
      <c r="I3" s="85"/>
      <c r="J3" s="85"/>
      <c r="K3" s="85"/>
      <c r="L3" s="85"/>
      <c r="M3" s="85"/>
      <c r="N3" s="85"/>
      <c r="O3" s="85"/>
      <c r="P3" s="85"/>
      <c r="Q3" s="85"/>
      <c r="R3" s="85"/>
    </row>
    <row r="5" spans="1:18" ht="32.1" customHeight="1">
      <c r="A5" s="8" t="s">
        <v>70</v>
      </c>
      <c r="B5" s="8" t="s">
        <v>71</v>
      </c>
      <c r="C5" s="8" t="s">
        <v>72</v>
      </c>
      <c r="D5" s="8" t="s">
        <v>27</v>
      </c>
      <c r="E5" s="8" t="s">
        <v>26</v>
      </c>
      <c r="F5" s="8" t="s">
        <v>73</v>
      </c>
      <c r="G5" s="8" t="s">
        <v>74</v>
      </c>
      <c r="H5" s="8" t="s">
        <v>75</v>
      </c>
      <c r="I5" s="8" t="s">
        <v>76</v>
      </c>
      <c r="J5" s="8" t="s">
        <v>77</v>
      </c>
      <c r="K5" s="8" t="s">
        <v>78</v>
      </c>
      <c r="L5" s="8" t="s">
        <v>29</v>
      </c>
      <c r="M5" s="8" t="s">
        <v>79</v>
      </c>
      <c r="N5" s="8" t="s">
        <v>80</v>
      </c>
      <c r="O5" s="8" t="s">
        <v>81</v>
      </c>
      <c r="P5" s="8" t="s">
        <v>82</v>
      </c>
      <c r="Q5" s="8" t="s">
        <v>83</v>
      </c>
      <c r="R5" s="8" t="s">
        <v>84</v>
      </c>
    </row>
    <row r="6" spans="1:18" ht="75.95" customHeight="1">
      <c r="A6" s="9" t="s">
        <v>85</v>
      </c>
      <c r="B6" s="9" t="s">
        <v>86</v>
      </c>
      <c r="C6" s="9" t="s">
        <v>87</v>
      </c>
      <c r="D6" s="9" t="s">
        <v>88</v>
      </c>
      <c r="E6" s="12" t="s">
        <v>41</v>
      </c>
      <c r="F6" s="11" t="s">
        <v>16</v>
      </c>
      <c r="G6" s="9" t="s">
        <v>89</v>
      </c>
      <c r="H6" s="9" t="s">
        <v>90</v>
      </c>
      <c r="I6" s="9" t="s">
        <v>91</v>
      </c>
      <c r="J6" s="9" t="s">
        <v>92</v>
      </c>
      <c r="K6" s="9" t="s">
        <v>93</v>
      </c>
      <c r="L6" s="9" t="s">
        <v>94</v>
      </c>
      <c r="M6" s="9" t="s">
        <v>95</v>
      </c>
      <c r="N6" s="9" t="s">
        <v>96</v>
      </c>
      <c r="O6" s="9" t="s">
        <v>97</v>
      </c>
      <c r="P6" s="13" t="s">
        <v>98</v>
      </c>
      <c r="Q6" s="9" t="s">
        <v>97</v>
      </c>
      <c r="R6" s="9" t="s">
        <v>99</v>
      </c>
    </row>
    <row r="7" spans="1:18" ht="75.95" customHeight="1">
      <c r="A7" s="9" t="s">
        <v>85</v>
      </c>
      <c r="B7" s="9" t="s">
        <v>86</v>
      </c>
      <c r="C7" s="9" t="s">
        <v>100</v>
      </c>
      <c r="D7" s="9" t="s">
        <v>101</v>
      </c>
      <c r="E7" s="12" t="s">
        <v>34</v>
      </c>
      <c r="F7" s="11" t="s">
        <v>16</v>
      </c>
      <c r="G7" s="9" t="s">
        <v>89</v>
      </c>
      <c r="H7" s="9" t="s">
        <v>90</v>
      </c>
      <c r="I7" s="9" t="s">
        <v>102</v>
      </c>
      <c r="J7" s="9" t="s">
        <v>103</v>
      </c>
      <c r="K7" s="9" t="s">
        <v>104</v>
      </c>
      <c r="L7" s="9" t="s">
        <v>105</v>
      </c>
      <c r="M7" s="9" t="s">
        <v>106</v>
      </c>
      <c r="N7" s="9" t="s">
        <v>96</v>
      </c>
      <c r="O7" s="9" t="s">
        <v>97</v>
      </c>
      <c r="P7" s="13" t="s">
        <v>98</v>
      </c>
      <c r="Q7" s="9" t="s">
        <v>97</v>
      </c>
      <c r="R7" s="9" t="s">
        <v>107</v>
      </c>
    </row>
    <row r="8" spans="1:18" ht="75.95" customHeight="1">
      <c r="A8" s="9" t="s">
        <v>85</v>
      </c>
      <c r="B8" s="9" t="s">
        <v>108</v>
      </c>
      <c r="C8" s="9" t="s">
        <v>109</v>
      </c>
      <c r="D8" s="9" t="s">
        <v>110</v>
      </c>
      <c r="E8" s="12" t="s">
        <v>34</v>
      </c>
      <c r="F8" s="11" t="s">
        <v>16</v>
      </c>
      <c r="G8" s="9" t="s">
        <v>89</v>
      </c>
      <c r="H8" s="9" t="s">
        <v>111</v>
      </c>
      <c r="I8" s="9" t="s">
        <v>112</v>
      </c>
      <c r="J8" s="9" t="s">
        <v>113</v>
      </c>
      <c r="K8" s="9" t="s">
        <v>114</v>
      </c>
      <c r="L8" s="9" t="s">
        <v>115</v>
      </c>
      <c r="M8" s="9" t="s">
        <v>116</v>
      </c>
      <c r="N8" s="9" t="s">
        <v>117</v>
      </c>
      <c r="O8" s="9" t="s">
        <v>97</v>
      </c>
      <c r="P8" s="13" t="s">
        <v>98</v>
      </c>
      <c r="Q8" s="9" t="s">
        <v>97</v>
      </c>
      <c r="R8" s="9" t="s">
        <v>118</v>
      </c>
    </row>
    <row r="9" spans="1:18" ht="75.95" customHeight="1">
      <c r="A9" s="9" t="s">
        <v>119</v>
      </c>
      <c r="B9" s="9" t="s">
        <v>120</v>
      </c>
      <c r="C9" s="9" t="s">
        <v>121</v>
      </c>
      <c r="D9" s="9" t="s">
        <v>122</v>
      </c>
      <c r="E9" s="12" t="s">
        <v>41</v>
      </c>
      <c r="F9" s="11" t="s">
        <v>16</v>
      </c>
      <c r="G9" s="9" t="s">
        <v>89</v>
      </c>
      <c r="H9" s="9" t="s">
        <v>123</v>
      </c>
      <c r="I9" s="9" t="s">
        <v>124</v>
      </c>
      <c r="J9" s="9" t="s">
        <v>125</v>
      </c>
      <c r="K9" s="9" t="s">
        <v>126</v>
      </c>
      <c r="L9" s="9" t="s">
        <v>127</v>
      </c>
      <c r="M9" s="9" t="s">
        <v>128</v>
      </c>
      <c r="N9" s="9" t="s">
        <v>96</v>
      </c>
      <c r="O9" s="9" t="s">
        <v>97</v>
      </c>
      <c r="P9" s="13" t="s">
        <v>98</v>
      </c>
      <c r="Q9" s="9" t="s">
        <v>97</v>
      </c>
      <c r="R9" s="9" t="s">
        <v>129</v>
      </c>
    </row>
    <row r="10" spans="1:18" ht="75.95" customHeight="1">
      <c r="A10" s="9" t="s">
        <v>119</v>
      </c>
      <c r="B10" s="9" t="s">
        <v>120</v>
      </c>
      <c r="C10" s="9" t="s">
        <v>130</v>
      </c>
      <c r="D10" s="9" t="s">
        <v>131</v>
      </c>
      <c r="E10" s="12" t="s">
        <v>41</v>
      </c>
      <c r="F10" s="11" t="s">
        <v>16</v>
      </c>
      <c r="G10" s="9" t="s">
        <v>89</v>
      </c>
      <c r="H10" s="9" t="s">
        <v>123</v>
      </c>
      <c r="I10" s="9" t="s">
        <v>124</v>
      </c>
      <c r="J10" s="9" t="s">
        <v>132</v>
      </c>
      <c r="K10" s="9" t="s">
        <v>133</v>
      </c>
      <c r="L10" s="9" t="s">
        <v>134</v>
      </c>
      <c r="M10" s="9" t="s">
        <v>106</v>
      </c>
      <c r="N10" s="9" t="s">
        <v>96</v>
      </c>
      <c r="O10" s="9" t="s">
        <v>97</v>
      </c>
      <c r="P10" s="13" t="s">
        <v>98</v>
      </c>
      <c r="Q10" s="9" t="s">
        <v>97</v>
      </c>
      <c r="R10" s="9" t="s">
        <v>135</v>
      </c>
    </row>
    <row r="11" spans="1:18" ht="75.95" customHeight="1">
      <c r="A11" s="9" t="s">
        <v>119</v>
      </c>
      <c r="B11" s="9" t="s">
        <v>120</v>
      </c>
      <c r="C11" s="9" t="s">
        <v>136</v>
      </c>
      <c r="D11" s="9" t="s">
        <v>137</v>
      </c>
      <c r="E11" s="12" t="s">
        <v>41</v>
      </c>
      <c r="F11" s="11" t="s">
        <v>16</v>
      </c>
      <c r="G11" s="9" t="s">
        <v>89</v>
      </c>
      <c r="H11" s="9" t="s">
        <v>123</v>
      </c>
      <c r="I11" s="9" t="s">
        <v>138</v>
      </c>
      <c r="J11" s="9" t="s">
        <v>139</v>
      </c>
      <c r="K11" s="9" t="s">
        <v>140</v>
      </c>
      <c r="L11" s="9" t="s">
        <v>141</v>
      </c>
      <c r="M11" s="9" t="s">
        <v>106</v>
      </c>
      <c r="N11" s="9" t="s">
        <v>96</v>
      </c>
      <c r="O11" s="9" t="s">
        <v>97</v>
      </c>
      <c r="P11" s="13" t="s">
        <v>98</v>
      </c>
      <c r="Q11" s="9" t="s">
        <v>97</v>
      </c>
      <c r="R11" s="9" t="s">
        <v>142</v>
      </c>
    </row>
    <row r="12" spans="1:18" ht="75.95" customHeight="1">
      <c r="A12" s="9" t="s">
        <v>143</v>
      </c>
      <c r="B12" s="9" t="s">
        <v>144</v>
      </c>
      <c r="C12" s="9" t="s">
        <v>145</v>
      </c>
      <c r="D12" s="9" t="s">
        <v>146</v>
      </c>
      <c r="E12" s="12" t="s">
        <v>41</v>
      </c>
      <c r="F12" s="11" t="s">
        <v>16</v>
      </c>
      <c r="G12" s="9" t="s">
        <v>147</v>
      </c>
      <c r="H12" s="9" t="s">
        <v>148</v>
      </c>
      <c r="I12" s="9" t="s">
        <v>149</v>
      </c>
      <c r="J12" s="9" t="s">
        <v>150</v>
      </c>
      <c r="K12" s="9" t="s">
        <v>151</v>
      </c>
      <c r="L12" s="9" t="s">
        <v>152</v>
      </c>
      <c r="M12" s="9" t="s">
        <v>153</v>
      </c>
      <c r="N12" s="9" t="s">
        <v>96</v>
      </c>
      <c r="O12" s="9" t="s">
        <v>97</v>
      </c>
      <c r="P12" s="13" t="s">
        <v>98</v>
      </c>
      <c r="Q12" s="9" t="s">
        <v>97</v>
      </c>
      <c r="R12" s="9" t="s">
        <v>154</v>
      </c>
    </row>
    <row r="13" spans="1:18" ht="75.95" customHeight="1">
      <c r="A13" s="9" t="s">
        <v>143</v>
      </c>
      <c r="B13" s="9" t="s">
        <v>144</v>
      </c>
      <c r="C13" s="9" t="s">
        <v>155</v>
      </c>
      <c r="D13" s="9" t="s">
        <v>156</v>
      </c>
      <c r="E13" s="12" t="s">
        <v>41</v>
      </c>
      <c r="F13" s="11" t="s">
        <v>16</v>
      </c>
      <c r="G13" s="9" t="s">
        <v>147</v>
      </c>
      <c r="H13" s="9" t="s">
        <v>148</v>
      </c>
      <c r="I13" s="9" t="s">
        <v>149</v>
      </c>
      <c r="J13" s="9" t="s">
        <v>157</v>
      </c>
      <c r="K13" s="9" t="s">
        <v>158</v>
      </c>
      <c r="L13" s="9" t="s">
        <v>159</v>
      </c>
      <c r="M13" s="9" t="s">
        <v>106</v>
      </c>
      <c r="N13" s="9" t="s">
        <v>96</v>
      </c>
      <c r="O13" s="9" t="s">
        <v>97</v>
      </c>
      <c r="P13" s="13" t="s">
        <v>98</v>
      </c>
      <c r="Q13" s="9" t="s">
        <v>97</v>
      </c>
      <c r="R13" s="9" t="s">
        <v>160</v>
      </c>
    </row>
    <row r="14" spans="1:18" ht="75.95" customHeight="1">
      <c r="A14" s="9" t="s">
        <v>143</v>
      </c>
      <c r="B14" s="9" t="s">
        <v>144</v>
      </c>
      <c r="C14" s="9" t="s">
        <v>161</v>
      </c>
      <c r="D14" s="9" t="s">
        <v>156</v>
      </c>
      <c r="E14" s="12" t="s">
        <v>41</v>
      </c>
      <c r="F14" s="11" t="s">
        <v>16</v>
      </c>
      <c r="G14" s="9" t="s">
        <v>162</v>
      </c>
      <c r="H14" s="9" t="s">
        <v>163</v>
      </c>
      <c r="I14" s="9" t="s">
        <v>149</v>
      </c>
      <c r="J14" s="9" t="s">
        <v>164</v>
      </c>
      <c r="K14" s="9" t="s">
        <v>165</v>
      </c>
      <c r="L14" s="9" t="s">
        <v>166</v>
      </c>
      <c r="M14" s="9" t="s">
        <v>106</v>
      </c>
      <c r="N14" s="9" t="s">
        <v>96</v>
      </c>
      <c r="O14" s="9" t="s">
        <v>97</v>
      </c>
      <c r="P14" s="13" t="s">
        <v>98</v>
      </c>
      <c r="Q14" s="9" t="s">
        <v>97</v>
      </c>
      <c r="R14" s="9" t="s">
        <v>167</v>
      </c>
    </row>
    <row r="15" spans="1:18" ht="75.95" customHeight="1">
      <c r="A15" s="9" t="s">
        <v>168</v>
      </c>
      <c r="B15" s="9" t="s">
        <v>169</v>
      </c>
      <c r="C15" s="9" t="s">
        <v>170</v>
      </c>
      <c r="D15" s="9" t="s">
        <v>171</v>
      </c>
      <c r="E15" s="12" t="s">
        <v>41</v>
      </c>
      <c r="F15" s="11" t="s">
        <v>16</v>
      </c>
      <c r="G15" s="9" t="s">
        <v>172</v>
      </c>
      <c r="H15" s="9" t="s">
        <v>173</v>
      </c>
      <c r="I15" s="9" t="s">
        <v>174</v>
      </c>
      <c r="J15" s="9" t="s">
        <v>175</v>
      </c>
      <c r="K15" s="9" t="s">
        <v>176</v>
      </c>
      <c r="L15" s="9" t="s">
        <v>177</v>
      </c>
      <c r="M15" s="9" t="s">
        <v>106</v>
      </c>
      <c r="N15" s="9" t="s">
        <v>96</v>
      </c>
      <c r="O15" s="9" t="s">
        <v>97</v>
      </c>
      <c r="P15" s="13" t="s">
        <v>98</v>
      </c>
      <c r="Q15" s="9" t="s">
        <v>97</v>
      </c>
      <c r="R15" s="9" t="s">
        <v>178</v>
      </c>
    </row>
    <row r="16" spans="1:18" ht="75.95" customHeight="1">
      <c r="A16" s="9" t="s">
        <v>168</v>
      </c>
      <c r="B16" s="9" t="s">
        <v>169</v>
      </c>
      <c r="C16" s="9" t="s">
        <v>179</v>
      </c>
      <c r="D16" s="9" t="s">
        <v>180</v>
      </c>
      <c r="E16" s="12" t="s">
        <v>41</v>
      </c>
      <c r="F16" s="11" t="s">
        <v>16</v>
      </c>
      <c r="G16" s="9" t="s">
        <v>181</v>
      </c>
      <c r="H16" s="9" t="s">
        <v>182</v>
      </c>
      <c r="I16" s="9" t="s">
        <v>174</v>
      </c>
      <c r="J16" s="9" t="s">
        <v>183</v>
      </c>
      <c r="K16" s="9" t="s">
        <v>184</v>
      </c>
      <c r="L16" s="9" t="s">
        <v>185</v>
      </c>
      <c r="M16" s="9" t="s">
        <v>106</v>
      </c>
      <c r="N16" s="9" t="s">
        <v>96</v>
      </c>
      <c r="O16" s="9" t="s">
        <v>97</v>
      </c>
      <c r="P16" s="13" t="s">
        <v>98</v>
      </c>
      <c r="Q16" s="9" t="s">
        <v>97</v>
      </c>
      <c r="R16" s="9" t="s">
        <v>186</v>
      </c>
    </row>
    <row r="17" spans="1:18" ht="75.95" customHeight="1">
      <c r="A17" s="9" t="s">
        <v>168</v>
      </c>
      <c r="B17" s="9" t="s">
        <v>169</v>
      </c>
      <c r="C17" s="9" t="s">
        <v>145</v>
      </c>
      <c r="D17" s="9" t="s">
        <v>187</v>
      </c>
      <c r="E17" s="12" t="s">
        <v>41</v>
      </c>
      <c r="F17" s="11" t="s">
        <v>16</v>
      </c>
      <c r="G17" s="9" t="s">
        <v>172</v>
      </c>
      <c r="H17" s="9" t="s">
        <v>188</v>
      </c>
      <c r="I17" s="9" t="s">
        <v>149</v>
      </c>
      <c r="J17" s="9" t="s">
        <v>189</v>
      </c>
      <c r="K17" s="9" t="s">
        <v>190</v>
      </c>
      <c r="L17" s="9" t="s">
        <v>191</v>
      </c>
      <c r="M17" s="9" t="s">
        <v>153</v>
      </c>
      <c r="N17" s="9" t="s">
        <v>96</v>
      </c>
      <c r="O17" s="9" t="s">
        <v>97</v>
      </c>
      <c r="P17" s="13" t="s">
        <v>98</v>
      </c>
      <c r="Q17" s="9" t="s">
        <v>97</v>
      </c>
      <c r="R17" s="9" t="s">
        <v>192</v>
      </c>
    </row>
    <row r="18" spans="1:18" ht="75.95" customHeight="1">
      <c r="A18" s="9" t="s">
        <v>168</v>
      </c>
      <c r="B18" s="9" t="s">
        <v>169</v>
      </c>
      <c r="C18" s="9" t="s">
        <v>100</v>
      </c>
      <c r="D18" s="9" t="s">
        <v>193</v>
      </c>
      <c r="E18" s="12" t="s">
        <v>34</v>
      </c>
      <c r="F18" s="11" t="s">
        <v>16</v>
      </c>
      <c r="G18" s="9" t="s">
        <v>181</v>
      </c>
      <c r="H18" s="9" t="s">
        <v>182</v>
      </c>
      <c r="I18" s="9" t="s">
        <v>194</v>
      </c>
      <c r="J18" s="9" t="s">
        <v>195</v>
      </c>
      <c r="K18" s="9" t="s">
        <v>196</v>
      </c>
      <c r="L18" s="9" t="s">
        <v>105</v>
      </c>
      <c r="M18" s="9" t="s">
        <v>106</v>
      </c>
      <c r="N18" s="9" t="s">
        <v>96</v>
      </c>
      <c r="O18" s="9" t="s">
        <v>97</v>
      </c>
      <c r="P18" s="13" t="s">
        <v>98</v>
      </c>
      <c r="Q18" s="9" t="s">
        <v>97</v>
      </c>
      <c r="R18" s="9" t="s">
        <v>197</v>
      </c>
    </row>
    <row r="19" spans="1:18" ht="75.95" customHeight="1">
      <c r="A19" s="9" t="s">
        <v>168</v>
      </c>
      <c r="B19" s="9" t="s">
        <v>169</v>
      </c>
      <c r="C19" s="9" t="s">
        <v>198</v>
      </c>
      <c r="D19" s="9" t="s">
        <v>199</v>
      </c>
      <c r="E19" s="12" t="s">
        <v>41</v>
      </c>
      <c r="F19" s="11" t="s">
        <v>16</v>
      </c>
      <c r="G19" s="9" t="s">
        <v>172</v>
      </c>
      <c r="H19" s="9" t="s">
        <v>188</v>
      </c>
      <c r="I19" s="9" t="s">
        <v>138</v>
      </c>
      <c r="J19" s="9" t="s">
        <v>200</v>
      </c>
      <c r="K19" s="9" t="s">
        <v>201</v>
      </c>
      <c r="L19" s="9" t="s">
        <v>202</v>
      </c>
      <c r="M19" s="9" t="s">
        <v>106</v>
      </c>
      <c r="N19" s="9" t="s">
        <v>96</v>
      </c>
      <c r="O19" s="9" t="s">
        <v>97</v>
      </c>
      <c r="P19" s="13" t="s">
        <v>98</v>
      </c>
      <c r="Q19" s="9" t="s">
        <v>97</v>
      </c>
      <c r="R19" s="9" t="s">
        <v>203</v>
      </c>
    </row>
    <row r="20" spans="1:18" ht="75.95" customHeight="1">
      <c r="A20" s="9" t="s">
        <v>204</v>
      </c>
      <c r="B20" s="9" t="s">
        <v>205</v>
      </c>
      <c r="C20" s="9" t="s">
        <v>206</v>
      </c>
      <c r="D20" s="9" t="s">
        <v>207</v>
      </c>
      <c r="E20" s="12" t="s">
        <v>41</v>
      </c>
      <c r="F20" s="11" t="s">
        <v>16</v>
      </c>
      <c r="G20" s="9" t="s">
        <v>89</v>
      </c>
      <c r="H20" s="9" t="s">
        <v>208</v>
      </c>
      <c r="I20" s="9" t="s">
        <v>149</v>
      </c>
      <c r="J20" s="9" t="s">
        <v>209</v>
      </c>
      <c r="K20" s="9" t="s">
        <v>210</v>
      </c>
      <c r="L20" s="9" t="s">
        <v>211</v>
      </c>
      <c r="M20" s="9" t="s">
        <v>212</v>
      </c>
      <c r="N20" s="9" t="s">
        <v>96</v>
      </c>
      <c r="O20" s="9" t="s">
        <v>97</v>
      </c>
      <c r="P20" s="13" t="s">
        <v>98</v>
      </c>
      <c r="Q20" s="9" t="s">
        <v>97</v>
      </c>
      <c r="R20" s="9" t="s">
        <v>213</v>
      </c>
    </row>
    <row r="21" spans="1:18" ht="75.95" customHeight="1">
      <c r="A21" s="9" t="s">
        <v>204</v>
      </c>
      <c r="B21" s="9" t="s">
        <v>205</v>
      </c>
      <c r="C21" s="9" t="s">
        <v>214</v>
      </c>
      <c r="D21" s="9" t="s">
        <v>215</v>
      </c>
      <c r="E21" s="12" t="s">
        <v>34</v>
      </c>
      <c r="F21" s="11" t="s">
        <v>16</v>
      </c>
      <c r="G21" s="9" t="s">
        <v>89</v>
      </c>
      <c r="H21" s="9" t="s">
        <v>208</v>
      </c>
      <c r="I21" s="9" t="s">
        <v>216</v>
      </c>
      <c r="J21" s="9" t="s">
        <v>217</v>
      </c>
      <c r="K21" s="9" t="s">
        <v>218</v>
      </c>
      <c r="L21" s="9" t="s">
        <v>219</v>
      </c>
      <c r="M21" s="9" t="s">
        <v>212</v>
      </c>
      <c r="N21" s="9" t="s">
        <v>220</v>
      </c>
      <c r="O21" s="9" t="s">
        <v>97</v>
      </c>
      <c r="P21" s="13" t="s">
        <v>98</v>
      </c>
      <c r="Q21" s="9" t="s">
        <v>221</v>
      </c>
      <c r="R21" s="9" t="s">
        <v>222</v>
      </c>
    </row>
    <row r="22" spans="1:18" ht="75.95" customHeight="1">
      <c r="A22" s="9" t="s">
        <v>204</v>
      </c>
      <c r="B22" s="9" t="s">
        <v>223</v>
      </c>
      <c r="C22" s="9" t="s">
        <v>224</v>
      </c>
      <c r="D22" s="9" t="s">
        <v>225</v>
      </c>
      <c r="E22" s="12" t="s">
        <v>34</v>
      </c>
      <c r="F22" s="11" t="s">
        <v>16</v>
      </c>
      <c r="G22" s="9" t="s">
        <v>89</v>
      </c>
      <c r="H22" s="9" t="s">
        <v>208</v>
      </c>
      <c r="I22" s="9" t="s">
        <v>216</v>
      </c>
      <c r="J22" s="9" t="s">
        <v>226</v>
      </c>
      <c r="K22" s="9" t="s">
        <v>227</v>
      </c>
      <c r="L22" s="9" t="s">
        <v>228</v>
      </c>
      <c r="M22" s="9" t="s">
        <v>229</v>
      </c>
      <c r="N22" s="9" t="s">
        <v>96</v>
      </c>
      <c r="O22" s="9" t="s">
        <v>97</v>
      </c>
      <c r="P22" s="13" t="s">
        <v>98</v>
      </c>
      <c r="Q22" s="9" t="s">
        <v>221</v>
      </c>
      <c r="R22" s="9" t="s">
        <v>230</v>
      </c>
    </row>
    <row r="23" spans="1:18" ht="75.95" customHeight="1">
      <c r="A23" s="9" t="s">
        <v>231</v>
      </c>
      <c r="B23" s="9" t="s">
        <v>232</v>
      </c>
      <c r="C23" s="9" t="s">
        <v>233</v>
      </c>
      <c r="D23" s="9" t="s">
        <v>234</v>
      </c>
      <c r="E23" s="12" t="s">
        <v>51</v>
      </c>
      <c r="F23" s="11" t="s">
        <v>16</v>
      </c>
      <c r="G23" s="9" t="s">
        <v>235</v>
      </c>
      <c r="H23" s="9" t="s">
        <v>117</v>
      </c>
      <c r="I23" s="9" t="s">
        <v>236</v>
      </c>
      <c r="J23" s="9" t="s">
        <v>237</v>
      </c>
      <c r="K23" s="9" t="s">
        <v>238</v>
      </c>
      <c r="L23" s="9" t="s">
        <v>117</v>
      </c>
      <c r="M23" s="9" t="s">
        <v>96</v>
      </c>
      <c r="N23" s="9" t="s">
        <v>97</v>
      </c>
      <c r="O23" s="9" t="s">
        <v>98</v>
      </c>
      <c r="P23" s="13" t="s">
        <v>97</v>
      </c>
      <c r="Q23" s="9" t="s">
        <v>239</v>
      </c>
      <c r="R23" s="9"/>
    </row>
    <row r="24" spans="1:18" ht="75.95" customHeight="1">
      <c r="A24" s="9" t="s">
        <v>231</v>
      </c>
      <c r="B24" s="9" t="s">
        <v>232</v>
      </c>
      <c r="C24" s="9" t="s">
        <v>240</v>
      </c>
      <c r="D24" s="9" t="s">
        <v>3</v>
      </c>
      <c r="E24" s="12" t="s">
        <v>41</v>
      </c>
      <c r="F24" s="11" t="s">
        <v>16</v>
      </c>
      <c r="G24" s="9" t="s">
        <v>241</v>
      </c>
      <c r="H24" s="9" t="s">
        <v>242</v>
      </c>
      <c r="I24" s="9" t="s">
        <v>243</v>
      </c>
      <c r="J24" s="9" t="s">
        <v>244</v>
      </c>
      <c r="K24" s="9" t="s">
        <v>245</v>
      </c>
      <c r="L24" s="9" t="s">
        <v>246</v>
      </c>
      <c r="M24" s="9" t="s">
        <v>96</v>
      </c>
      <c r="N24" s="9" t="s">
        <v>97</v>
      </c>
      <c r="O24" s="9" t="s">
        <v>98</v>
      </c>
      <c r="P24" s="13" t="s">
        <v>97</v>
      </c>
      <c r="Q24" s="9" t="s">
        <v>247</v>
      </c>
      <c r="R24" s="9"/>
    </row>
  </sheetData>
  <mergeCells count="2">
    <mergeCell ref="A3:R3"/>
    <mergeCell ref="A1:R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showGridLines="0" workbookViewId="0"/>
  </sheetViews>
  <sheetFormatPr defaultRowHeight="14.25"/>
  <cols>
    <col min="1" max="1" width="12" customWidth="1"/>
    <col min="2" max="2" width="18" customWidth="1"/>
    <col min="3" max="3" width="12" customWidth="1"/>
    <col min="4" max="4" width="18" customWidth="1"/>
    <col min="5" max="5" width="22" customWidth="1"/>
    <col min="6" max="8" width="44" customWidth="1"/>
    <col min="9" max="9" width="26" customWidth="1"/>
  </cols>
  <sheetData>
    <row r="1" spans="1:9" ht="36" customHeight="1">
      <c r="A1" s="97" t="s">
        <v>248</v>
      </c>
      <c r="B1" s="85"/>
      <c r="C1" s="85"/>
      <c r="D1" s="85"/>
      <c r="E1" s="85"/>
      <c r="F1" s="85"/>
      <c r="G1" s="85"/>
      <c r="H1" s="85"/>
      <c r="I1" s="85"/>
    </row>
    <row r="2" spans="1:9" ht="36" customHeight="1">
      <c r="A2" s="85"/>
      <c r="B2" s="85"/>
      <c r="C2" s="85"/>
      <c r="D2" s="85"/>
      <c r="E2" s="85"/>
      <c r="F2" s="85"/>
      <c r="G2" s="85"/>
      <c r="H2" s="85"/>
      <c r="I2" s="85"/>
    </row>
    <row r="3" spans="1:9">
      <c r="A3" s="96" t="s">
        <v>249</v>
      </c>
      <c r="B3" s="85"/>
      <c r="C3" s="85"/>
      <c r="D3" s="85"/>
      <c r="E3" s="85"/>
      <c r="F3" s="85"/>
      <c r="G3" s="85"/>
      <c r="H3" s="85"/>
      <c r="I3" s="85"/>
    </row>
    <row r="4" spans="1:9" ht="32.1" customHeight="1">
      <c r="A4" s="8" t="s">
        <v>250</v>
      </c>
      <c r="B4" s="8" t="s">
        <v>251</v>
      </c>
      <c r="C4" s="8" t="s">
        <v>26</v>
      </c>
      <c r="D4" s="8" t="s">
        <v>252</v>
      </c>
      <c r="E4" s="8" t="s">
        <v>253</v>
      </c>
      <c r="F4" s="8" t="s">
        <v>254</v>
      </c>
      <c r="G4" s="8" t="s">
        <v>255</v>
      </c>
      <c r="H4" s="8" t="s">
        <v>256</v>
      </c>
      <c r="I4" s="8" t="s">
        <v>257</v>
      </c>
    </row>
    <row r="5" spans="1:9" ht="81.95" customHeight="1">
      <c r="A5" s="9" t="s">
        <v>258</v>
      </c>
      <c r="B5" s="9" t="s">
        <v>145</v>
      </c>
      <c r="C5" s="14" t="s">
        <v>41</v>
      </c>
      <c r="D5" s="11" t="s">
        <v>17</v>
      </c>
      <c r="E5" s="9" t="s">
        <v>259</v>
      </c>
      <c r="F5" s="9" t="s">
        <v>260</v>
      </c>
      <c r="G5" s="9" t="s">
        <v>261</v>
      </c>
      <c r="H5" s="9" t="s">
        <v>262</v>
      </c>
      <c r="I5" s="9" t="s">
        <v>263</v>
      </c>
    </row>
    <row r="6" spans="1:9" ht="81.95" customHeight="1">
      <c r="A6" s="9" t="s">
        <v>264</v>
      </c>
      <c r="B6" s="9" t="s">
        <v>265</v>
      </c>
      <c r="C6" s="14" t="s">
        <v>34</v>
      </c>
      <c r="D6" s="11" t="s">
        <v>17</v>
      </c>
      <c r="E6" s="9" t="s">
        <v>266</v>
      </c>
      <c r="F6" s="9" t="s">
        <v>267</v>
      </c>
      <c r="G6" s="9" t="s">
        <v>268</v>
      </c>
      <c r="H6" s="9" t="s">
        <v>269</v>
      </c>
      <c r="I6" s="9" t="s">
        <v>263</v>
      </c>
    </row>
    <row r="7" spans="1:9" ht="81.95" customHeight="1">
      <c r="A7" s="9" t="s">
        <v>270</v>
      </c>
      <c r="B7" s="9" t="s">
        <v>130</v>
      </c>
      <c r="C7" s="14" t="s">
        <v>51</v>
      </c>
      <c r="D7" s="11" t="s">
        <v>17</v>
      </c>
      <c r="E7" s="9" t="s">
        <v>271</v>
      </c>
      <c r="F7" s="9" t="s">
        <v>272</v>
      </c>
      <c r="G7" s="9" t="s">
        <v>273</v>
      </c>
      <c r="H7" s="9" t="s">
        <v>274</v>
      </c>
      <c r="I7" s="9" t="s">
        <v>263</v>
      </c>
    </row>
    <row r="8" spans="1:9" ht="81.95" customHeight="1">
      <c r="A8" s="9" t="s">
        <v>275</v>
      </c>
      <c r="B8" s="9" t="s">
        <v>155</v>
      </c>
      <c r="C8" s="14" t="s">
        <v>51</v>
      </c>
      <c r="D8" s="11" t="s">
        <v>17</v>
      </c>
      <c r="E8" s="9" t="s">
        <v>156</v>
      </c>
      <c r="F8" s="9" t="s">
        <v>276</v>
      </c>
      <c r="G8" s="9" t="s">
        <v>277</v>
      </c>
      <c r="H8" s="9" t="s">
        <v>278</v>
      </c>
      <c r="I8" s="9" t="s">
        <v>263</v>
      </c>
    </row>
    <row r="9" spans="1:9" ht="81.95" customHeight="1">
      <c r="A9" s="9" t="s">
        <v>279</v>
      </c>
      <c r="B9" s="9" t="s">
        <v>161</v>
      </c>
      <c r="C9" s="14" t="s">
        <v>51</v>
      </c>
      <c r="D9" s="11" t="s">
        <v>17</v>
      </c>
      <c r="E9" s="9" t="s">
        <v>156</v>
      </c>
      <c r="F9" s="9" t="s">
        <v>280</v>
      </c>
      <c r="G9" s="9" t="s">
        <v>281</v>
      </c>
      <c r="H9" s="9" t="s">
        <v>282</v>
      </c>
      <c r="I9" s="9" t="s">
        <v>263</v>
      </c>
    </row>
    <row r="10" spans="1:9" ht="81.95" customHeight="1">
      <c r="A10" s="9" t="s">
        <v>283</v>
      </c>
      <c r="B10" s="9" t="s">
        <v>284</v>
      </c>
      <c r="C10" s="14" t="s">
        <v>51</v>
      </c>
      <c r="D10" s="11" t="s">
        <v>17</v>
      </c>
      <c r="E10" s="9" t="s">
        <v>285</v>
      </c>
      <c r="F10" s="9" t="s">
        <v>286</v>
      </c>
      <c r="G10" s="9" t="s">
        <v>287</v>
      </c>
      <c r="H10" s="9" t="s">
        <v>288</v>
      </c>
      <c r="I10" s="9" t="s">
        <v>263</v>
      </c>
    </row>
    <row r="11" spans="1:9" ht="81.95" customHeight="1">
      <c r="A11" s="9" t="s">
        <v>289</v>
      </c>
      <c r="B11" s="9" t="s">
        <v>206</v>
      </c>
      <c r="C11" s="14" t="s">
        <v>51</v>
      </c>
      <c r="D11" s="11" t="s">
        <v>17</v>
      </c>
      <c r="E11" s="9" t="s">
        <v>290</v>
      </c>
      <c r="F11" s="9" t="s">
        <v>291</v>
      </c>
      <c r="G11" s="9" t="s">
        <v>292</v>
      </c>
      <c r="H11" s="9" t="s">
        <v>293</v>
      </c>
      <c r="I11" s="9" t="s">
        <v>263</v>
      </c>
    </row>
    <row r="12" spans="1:9" ht="81.95" customHeight="1">
      <c r="A12" s="9" t="s">
        <v>294</v>
      </c>
      <c r="B12" s="9" t="s">
        <v>87</v>
      </c>
      <c r="C12" s="14" t="s">
        <v>51</v>
      </c>
      <c r="D12" s="11" t="s">
        <v>295</v>
      </c>
      <c r="E12" s="9" t="s">
        <v>296</v>
      </c>
      <c r="F12" s="9" t="s">
        <v>297</v>
      </c>
      <c r="G12" s="9" t="s">
        <v>298</v>
      </c>
      <c r="H12" s="9" t="s">
        <v>299</v>
      </c>
      <c r="I12" s="9" t="s">
        <v>263</v>
      </c>
    </row>
    <row r="13" spans="1:9" ht="81.95" customHeight="1">
      <c r="A13" s="9" t="s">
        <v>300</v>
      </c>
      <c r="B13" s="9" t="s">
        <v>233</v>
      </c>
      <c r="C13" s="14" t="s">
        <v>301</v>
      </c>
      <c r="D13" s="11" t="s">
        <v>17</v>
      </c>
      <c r="E13" s="9" t="s">
        <v>302</v>
      </c>
      <c r="F13" s="9" t="s">
        <v>303</v>
      </c>
      <c r="G13" s="9" t="s">
        <v>304</v>
      </c>
      <c r="H13" s="9" t="s">
        <v>305</v>
      </c>
      <c r="I13" s="9" t="s">
        <v>263</v>
      </c>
    </row>
    <row r="14" spans="1:9" ht="81.95" customHeight="1">
      <c r="A14" s="9" t="s">
        <v>306</v>
      </c>
      <c r="B14" s="9" t="s">
        <v>109</v>
      </c>
      <c r="C14" s="14" t="s">
        <v>41</v>
      </c>
      <c r="D14" s="11" t="s">
        <v>17</v>
      </c>
      <c r="E14" s="9" t="s">
        <v>307</v>
      </c>
      <c r="F14" s="9" t="s">
        <v>308</v>
      </c>
      <c r="G14" s="9" t="s">
        <v>309</v>
      </c>
      <c r="H14" s="9" t="s">
        <v>310</v>
      </c>
      <c r="I14" s="9" t="s">
        <v>263</v>
      </c>
    </row>
    <row r="15" spans="1:9" ht="81.95" customHeight="1">
      <c r="A15" s="9" t="s">
        <v>311</v>
      </c>
      <c r="B15" s="9" t="s">
        <v>121</v>
      </c>
      <c r="C15" s="14" t="s">
        <v>41</v>
      </c>
      <c r="D15" s="11" t="s">
        <v>17</v>
      </c>
      <c r="E15" s="9" t="s">
        <v>312</v>
      </c>
      <c r="F15" s="9" t="s">
        <v>313</v>
      </c>
      <c r="G15" s="9" t="s">
        <v>314</v>
      </c>
      <c r="H15" s="9" t="s">
        <v>315</v>
      </c>
      <c r="I15" s="9" t="s">
        <v>263</v>
      </c>
    </row>
    <row r="16" spans="1:9" ht="81.95" customHeight="1">
      <c r="A16" s="9" t="s">
        <v>316</v>
      </c>
      <c r="B16" s="9" t="s">
        <v>317</v>
      </c>
      <c r="C16" s="14" t="s">
        <v>41</v>
      </c>
      <c r="D16" s="11" t="s">
        <v>17</v>
      </c>
      <c r="E16" s="9" t="s">
        <v>137</v>
      </c>
      <c r="F16" s="9" t="s">
        <v>318</v>
      </c>
      <c r="G16" s="9" t="s">
        <v>319</v>
      </c>
      <c r="H16" s="9" t="s">
        <v>320</v>
      </c>
      <c r="I16" s="9" t="s">
        <v>263</v>
      </c>
    </row>
  </sheetData>
  <mergeCells count="2">
    <mergeCell ref="A1:I2"/>
    <mergeCell ref="A3:I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showGridLines="0" workbookViewId="0"/>
  </sheetViews>
  <sheetFormatPr defaultRowHeight="14.25"/>
  <cols>
    <col min="1" max="1" width="16" customWidth="1"/>
    <col min="2" max="2" width="24" customWidth="1"/>
    <col min="3" max="3" width="34" customWidth="1"/>
    <col min="4" max="4" width="30" customWidth="1"/>
    <col min="5" max="5" width="22" customWidth="1"/>
    <col min="6" max="6" width="20" customWidth="1"/>
    <col min="7" max="7" width="36" customWidth="1"/>
    <col min="8" max="8" width="24" customWidth="1"/>
  </cols>
  <sheetData>
    <row r="1" spans="1:8" ht="36" customHeight="1">
      <c r="A1" s="101" t="s">
        <v>321</v>
      </c>
      <c r="B1" s="85"/>
      <c r="C1" s="85"/>
      <c r="D1" s="85"/>
      <c r="E1" s="85"/>
      <c r="F1" s="85"/>
      <c r="G1" s="85"/>
      <c r="H1" s="85"/>
    </row>
    <row r="2" spans="1:8" ht="36" customHeight="1">
      <c r="A2" s="85"/>
      <c r="B2" s="85"/>
      <c r="C2" s="85"/>
      <c r="D2" s="85"/>
      <c r="E2" s="85"/>
      <c r="F2" s="85"/>
      <c r="G2" s="85"/>
      <c r="H2" s="85"/>
    </row>
    <row r="3" spans="1:8" ht="30">
      <c r="A3" s="1" t="s">
        <v>1</v>
      </c>
      <c r="B3" s="15" t="s">
        <v>2</v>
      </c>
      <c r="D3" s="1" t="s">
        <v>322</v>
      </c>
      <c r="E3" s="15" t="s">
        <v>221</v>
      </c>
      <c r="G3" s="102" t="s">
        <v>323</v>
      </c>
      <c r="H3" s="85"/>
    </row>
    <row r="4" spans="1:8" ht="30">
      <c r="A4" s="1" t="s">
        <v>5</v>
      </c>
      <c r="B4" s="15" t="s">
        <v>6</v>
      </c>
      <c r="D4" s="1" t="s">
        <v>324</v>
      </c>
      <c r="E4" s="15" t="s">
        <v>325</v>
      </c>
      <c r="G4" s="1" t="s">
        <v>326</v>
      </c>
      <c r="H4" s="2" t="s">
        <v>327</v>
      </c>
    </row>
    <row r="5" spans="1:8" ht="45">
      <c r="A5" s="1" t="s">
        <v>9</v>
      </c>
      <c r="B5" s="15" t="s">
        <v>328</v>
      </c>
      <c r="D5" s="1" t="s">
        <v>329</v>
      </c>
      <c r="E5" s="15" t="s">
        <v>330</v>
      </c>
      <c r="G5" s="1" t="s">
        <v>331</v>
      </c>
      <c r="H5" s="2" t="s">
        <v>16</v>
      </c>
    </row>
    <row r="6" spans="1:8" ht="45">
      <c r="A6" s="1" t="s">
        <v>332</v>
      </c>
      <c r="B6" s="15" t="s">
        <v>333</v>
      </c>
      <c r="D6" s="1" t="s">
        <v>28</v>
      </c>
      <c r="E6" s="15" t="s">
        <v>334</v>
      </c>
      <c r="G6" s="1" t="s">
        <v>335</v>
      </c>
      <c r="H6" s="2" t="s">
        <v>16</v>
      </c>
    </row>
    <row r="7" spans="1:8" ht="15">
      <c r="G7" s="1" t="s">
        <v>336</v>
      </c>
      <c r="H7" s="2" t="s">
        <v>337</v>
      </c>
    </row>
    <row r="8" spans="1:8" ht="15">
      <c r="A8" s="98" t="s">
        <v>338</v>
      </c>
      <c r="B8" s="85"/>
      <c r="D8" s="98" t="s">
        <v>339</v>
      </c>
      <c r="E8" s="85"/>
      <c r="G8" s="98" t="s">
        <v>15</v>
      </c>
      <c r="H8" s="85"/>
    </row>
    <row r="9" spans="1:8" ht="15">
      <c r="A9" s="16" t="s">
        <v>16</v>
      </c>
      <c r="B9" s="4">
        <f>COUNTIF('Journey Results'!$F$6:$F$15,"PASS")</f>
        <v>10</v>
      </c>
      <c r="D9" s="3" t="s">
        <v>340</v>
      </c>
      <c r="E9" s="4" t="s">
        <v>341</v>
      </c>
      <c r="G9" s="78" t="str">
        <f>IF(B10&gt;0,"STOP - PRODUCT FAILURE REMAINS",IF(B11&gt;0,"BLOCKERS REMAIN","ALL CURRENT JOURNEY TESTS PASS"))</f>
        <v>ALL CURRENT JOURNEY TESTS PASS</v>
      </c>
      <c r="H9" s="79"/>
    </row>
    <row r="10" spans="1:8" ht="15">
      <c r="A10" s="17" t="s">
        <v>19</v>
      </c>
      <c r="B10" s="4">
        <f>COUNTIF('Journey Results'!$F$6:$F$15,"FAIL")</f>
        <v>0</v>
      </c>
      <c r="D10" s="3" t="s">
        <v>342</v>
      </c>
      <c r="E10" s="4" t="s">
        <v>343</v>
      </c>
      <c r="G10" s="80"/>
      <c r="H10" s="81"/>
    </row>
    <row r="11" spans="1:8" ht="15">
      <c r="A11" s="18" t="s">
        <v>21</v>
      </c>
      <c r="B11" s="4">
        <f>COUNTIF('Journey Results'!$F$6:$F$15,"BLOCKED")</f>
        <v>0</v>
      </c>
      <c r="D11" s="3" t="s">
        <v>344</v>
      </c>
      <c r="E11" s="4" t="s">
        <v>345</v>
      </c>
      <c r="G11" s="80"/>
      <c r="H11" s="81"/>
    </row>
    <row r="12" spans="1:8" ht="15">
      <c r="A12" s="3" t="s">
        <v>23</v>
      </c>
      <c r="B12" s="4">
        <f>COUNTA('Journey Results'!$A$6:$A$15)</f>
        <v>10</v>
      </c>
      <c r="D12" s="3" t="s">
        <v>346</v>
      </c>
      <c r="E12" s="4" t="s">
        <v>347</v>
      </c>
      <c r="G12" s="82"/>
      <c r="H12" s="83"/>
    </row>
    <row r="15" spans="1:8" ht="15">
      <c r="A15" s="100" t="s">
        <v>348</v>
      </c>
      <c r="B15" s="85"/>
      <c r="C15" s="85"/>
      <c r="D15" s="85"/>
      <c r="E15" s="85"/>
      <c r="F15" s="85"/>
      <c r="G15" s="85"/>
      <c r="H15" s="85"/>
    </row>
    <row r="16" spans="1:8" ht="32.1" customHeight="1">
      <c r="A16" s="19" t="s">
        <v>26</v>
      </c>
      <c r="B16" s="19" t="s">
        <v>27</v>
      </c>
      <c r="C16" s="19" t="s">
        <v>349</v>
      </c>
      <c r="D16" s="19" t="s">
        <v>350</v>
      </c>
      <c r="E16" s="19" t="s">
        <v>30</v>
      </c>
      <c r="F16" s="19" t="s">
        <v>31</v>
      </c>
      <c r="G16" s="19" t="s">
        <v>32</v>
      </c>
      <c r="H16" s="19" t="s">
        <v>351</v>
      </c>
    </row>
    <row r="17" spans="1:8" ht="57.95" customHeight="1">
      <c r="A17" s="10" t="s">
        <v>34</v>
      </c>
      <c r="B17" s="9" t="s">
        <v>352</v>
      </c>
      <c r="C17" s="9" t="s">
        <v>353</v>
      </c>
      <c r="D17" s="9" t="s">
        <v>354</v>
      </c>
      <c r="E17" s="9" t="s">
        <v>17</v>
      </c>
      <c r="F17" s="9" t="s">
        <v>355</v>
      </c>
      <c r="G17" s="9" t="s">
        <v>356</v>
      </c>
      <c r="H17" s="9" t="s">
        <v>357</v>
      </c>
    </row>
    <row r="18" spans="1:8" ht="57.95" customHeight="1">
      <c r="A18" s="10" t="s">
        <v>41</v>
      </c>
      <c r="B18" s="9" t="s">
        <v>358</v>
      </c>
      <c r="C18" s="9" t="s">
        <v>359</v>
      </c>
      <c r="D18" s="9" t="s">
        <v>360</v>
      </c>
      <c r="E18" s="9" t="s">
        <v>17</v>
      </c>
      <c r="F18" s="9" t="s">
        <v>38</v>
      </c>
      <c r="G18" s="9" t="s">
        <v>361</v>
      </c>
      <c r="H18" s="9" t="s">
        <v>357</v>
      </c>
    </row>
    <row r="19" spans="1:8" ht="57.95" customHeight="1">
      <c r="A19" s="10" t="s">
        <v>34</v>
      </c>
      <c r="B19" s="9" t="s">
        <v>362</v>
      </c>
      <c r="C19" s="9" t="s">
        <v>363</v>
      </c>
      <c r="D19" s="9" t="s">
        <v>364</v>
      </c>
      <c r="E19" s="9" t="s">
        <v>17</v>
      </c>
      <c r="F19" s="9" t="s">
        <v>365</v>
      </c>
      <c r="G19" s="9" t="s">
        <v>366</v>
      </c>
      <c r="H19" s="9" t="s">
        <v>367</v>
      </c>
    </row>
    <row r="20" spans="1:8" ht="57.95" customHeight="1">
      <c r="A20" s="10" t="s">
        <v>34</v>
      </c>
      <c r="B20" s="9" t="s">
        <v>368</v>
      </c>
      <c r="C20" s="9" t="s">
        <v>369</v>
      </c>
      <c r="D20" s="9" t="s">
        <v>370</v>
      </c>
      <c r="E20" s="9" t="s">
        <v>17</v>
      </c>
      <c r="F20" s="9" t="s">
        <v>65</v>
      </c>
      <c r="G20" s="9" t="s">
        <v>371</v>
      </c>
      <c r="H20" s="9" t="s">
        <v>372</v>
      </c>
    </row>
    <row r="23" spans="1:8">
      <c r="A23" s="99" t="s">
        <v>373</v>
      </c>
      <c r="B23" s="87"/>
      <c r="C23" s="87"/>
      <c r="D23" s="87"/>
      <c r="E23" s="87"/>
      <c r="F23" s="87"/>
      <c r="G23" s="87"/>
      <c r="H23" s="88"/>
    </row>
    <row r="24" spans="1:8">
      <c r="A24" s="89"/>
      <c r="B24" s="85"/>
      <c r="C24" s="85"/>
      <c r="D24" s="85"/>
      <c r="E24" s="85"/>
      <c r="F24" s="85"/>
      <c r="G24" s="85"/>
      <c r="H24" s="90"/>
    </row>
    <row r="25" spans="1:8">
      <c r="A25" s="89"/>
      <c r="B25" s="85"/>
      <c r="C25" s="85"/>
      <c r="D25" s="85"/>
      <c r="E25" s="85"/>
      <c r="F25" s="85"/>
      <c r="G25" s="85"/>
      <c r="H25" s="90"/>
    </row>
    <row r="26" spans="1:8">
      <c r="A26" s="91"/>
      <c r="B26" s="92"/>
      <c r="C26" s="92"/>
      <c r="D26" s="92"/>
      <c r="E26" s="92"/>
      <c r="F26" s="92"/>
      <c r="G26" s="92"/>
      <c r="H26" s="93"/>
    </row>
  </sheetData>
  <mergeCells count="8">
    <mergeCell ref="A1:H2"/>
    <mergeCell ref="A8:B8"/>
    <mergeCell ref="G3:H3"/>
    <mergeCell ref="D8:E8"/>
    <mergeCell ref="G9:H12"/>
    <mergeCell ref="A23:H26"/>
    <mergeCell ref="A15:H15"/>
    <mergeCell ref="G8: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5"/>
  <sheetViews>
    <sheetView showGridLines="0" workbookViewId="0"/>
  </sheetViews>
  <sheetFormatPr defaultRowHeight="14.25"/>
  <cols>
    <col min="1" max="1" width="14" customWidth="1"/>
    <col min="2" max="2" width="28" customWidth="1"/>
    <col min="3" max="3" width="12" customWidth="1"/>
    <col min="4" max="4" width="22" customWidth="1"/>
    <col min="5" max="5" width="10" customWidth="1"/>
    <col min="6" max="6" width="12" customWidth="1"/>
    <col min="7" max="7" width="22" customWidth="1"/>
    <col min="8" max="8" width="24" customWidth="1"/>
    <col min="9" max="9" width="34" customWidth="1"/>
    <col min="10" max="11" width="46" customWidth="1"/>
    <col min="12" max="12" width="40" customWidth="1"/>
    <col min="13" max="13" width="34" customWidth="1"/>
    <col min="14" max="14" width="16" customWidth="1"/>
    <col min="15" max="15" width="22" customWidth="1"/>
    <col min="16" max="16" width="16" customWidth="1"/>
    <col min="17" max="17" width="34" customWidth="1"/>
    <col min="18" max="18" width="46" customWidth="1"/>
  </cols>
  <sheetData>
    <row r="1" spans="1:18" ht="36" customHeight="1">
      <c r="A1" s="104" t="s">
        <v>374</v>
      </c>
      <c r="B1" s="85"/>
      <c r="C1" s="85"/>
      <c r="D1" s="85"/>
      <c r="E1" s="85"/>
      <c r="F1" s="85"/>
      <c r="G1" s="85"/>
      <c r="H1" s="85"/>
      <c r="I1" s="85"/>
      <c r="J1" s="85"/>
      <c r="K1" s="85"/>
      <c r="L1" s="85"/>
      <c r="M1" s="85"/>
      <c r="N1" s="85"/>
      <c r="O1" s="85"/>
      <c r="P1" s="85"/>
      <c r="Q1" s="85"/>
      <c r="R1" s="85"/>
    </row>
    <row r="2" spans="1:18" ht="36" customHeight="1">
      <c r="A2" s="85"/>
      <c r="B2" s="85"/>
      <c r="C2" s="85"/>
      <c r="D2" s="85"/>
      <c r="E2" s="85"/>
      <c r="F2" s="85"/>
      <c r="G2" s="85"/>
      <c r="H2" s="85"/>
      <c r="I2" s="85"/>
      <c r="J2" s="85"/>
      <c r="K2" s="85"/>
      <c r="L2" s="85"/>
      <c r="M2" s="85"/>
      <c r="N2" s="85"/>
      <c r="O2" s="85"/>
      <c r="P2" s="85"/>
      <c r="Q2" s="85"/>
      <c r="R2" s="85"/>
    </row>
    <row r="3" spans="1:18">
      <c r="A3" s="103" t="s">
        <v>375</v>
      </c>
      <c r="B3" s="85"/>
      <c r="C3" s="85"/>
      <c r="D3" s="85"/>
      <c r="E3" s="85"/>
      <c r="F3" s="85"/>
      <c r="G3" s="85"/>
      <c r="H3" s="85"/>
      <c r="I3" s="85"/>
      <c r="J3" s="85"/>
      <c r="K3" s="85"/>
      <c r="L3" s="85"/>
      <c r="M3" s="85"/>
      <c r="N3" s="85"/>
      <c r="O3" s="85"/>
      <c r="P3" s="85"/>
      <c r="Q3" s="85"/>
      <c r="R3" s="85"/>
    </row>
    <row r="5" spans="1:18" ht="32.1" customHeight="1">
      <c r="A5" s="19" t="s">
        <v>70</v>
      </c>
      <c r="B5" s="19" t="s">
        <v>71</v>
      </c>
      <c r="C5" s="19" t="s">
        <v>72</v>
      </c>
      <c r="D5" s="19" t="s">
        <v>27</v>
      </c>
      <c r="E5" s="19" t="s">
        <v>26</v>
      </c>
      <c r="F5" s="19" t="s">
        <v>73</v>
      </c>
      <c r="G5" s="19" t="s">
        <v>74</v>
      </c>
      <c r="H5" s="19" t="s">
        <v>75</v>
      </c>
      <c r="I5" s="19" t="s">
        <v>376</v>
      </c>
      <c r="J5" s="19" t="s">
        <v>77</v>
      </c>
      <c r="K5" s="19" t="s">
        <v>78</v>
      </c>
      <c r="L5" s="19" t="s">
        <v>29</v>
      </c>
      <c r="M5" s="19" t="s">
        <v>79</v>
      </c>
      <c r="N5" s="19" t="s">
        <v>80</v>
      </c>
      <c r="O5" s="19" t="s">
        <v>377</v>
      </c>
      <c r="P5" s="19" t="s">
        <v>82</v>
      </c>
      <c r="Q5" s="19" t="s">
        <v>378</v>
      </c>
      <c r="R5" s="19" t="s">
        <v>84</v>
      </c>
    </row>
    <row r="6" spans="1:18" ht="81.95" customHeight="1">
      <c r="A6" s="9" t="s">
        <v>379</v>
      </c>
      <c r="B6" s="9" t="s">
        <v>380</v>
      </c>
      <c r="C6" s="9" t="s">
        <v>381</v>
      </c>
      <c r="D6" s="9" t="s">
        <v>382</v>
      </c>
      <c r="E6" s="12" t="s">
        <v>34</v>
      </c>
      <c r="F6" s="22" t="s">
        <v>16</v>
      </c>
      <c r="G6" s="9" t="s">
        <v>383</v>
      </c>
      <c r="H6" s="9" t="s">
        <v>384</v>
      </c>
      <c r="I6" s="9" t="s">
        <v>149</v>
      </c>
      <c r="J6" s="9" t="s">
        <v>385</v>
      </c>
      <c r="K6" s="9" t="s">
        <v>386</v>
      </c>
      <c r="L6" s="9" t="s">
        <v>387</v>
      </c>
      <c r="M6" s="9" t="s">
        <v>388</v>
      </c>
      <c r="N6" s="9" t="s">
        <v>117</v>
      </c>
      <c r="O6" s="9" t="s">
        <v>97</v>
      </c>
      <c r="P6" s="13" t="s">
        <v>98</v>
      </c>
      <c r="Q6" s="9" t="s">
        <v>389</v>
      </c>
      <c r="R6" s="9" t="s">
        <v>390</v>
      </c>
    </row>
    <row r="7" spans="1:18" ht="81.95" customHeight="1">
      <c r="A7" s="9" t="s">
        <v>379</v>
      </c>
      <c r="B7" s="9" t="s">
        <v>380</v>
      </c>
      <c r="C7" s="9" t="s">
        <v>391</v>
      </c>
      <c r="D7" s="9" t="s">
        <v>368</v>
      </c>
      <c r="E7" s="12" t="s">
        <v>34</v>
      </c>
      <c r="F7" s="22" t="s">
        <v>16</v>
      </c>
      <c r="G7" s="9" t="s">
        <v>392</v>
      </c>
      <c r="H7" s="9" t="s">
        <v>393</v>
      </c>
      <c r="I7" s="9" t="s">
        <v>394</v>
      </c>
      <c r="J7" s="9" t="s">
        <v>395</v>
      </c>
      <c r="K7" s="9" t="s">
        <v>396</v>
      </c>
      <c r="L7" s="9" t="s">
        <v>397</v>
      </c>
      <c r="M7" s="9" t="s">
        <v>388</v>
      </c>
      <c r="N7" s="9" t="s">
        <v>117</v>
      </c>
      <c r="O7" s="9" t="s">
        <v>97</v>
      </c>
      <c r="P7" s="13" t="s">
        <v>98</v>
      </c>
      <c r="Q7" s="9" t="s">
        <v>389</v>
      </c>
      <c r="R7" s="9" t="s">
        <v>398</v>
      </c>
    </row>
    <row r="8" spans="1:18" ht="81.95" customHeight="1">
      <c r="A8" s="9" t="s">
        <v>379</v>
      </c>
      <c r="B8" s="9" t="s">
        <v>380</v>
      </c>
      <c r="C8" s="9" t="s">
        <v>399</v>
      </c>
      <c r="D8" s="9" t="s">
        <v>400</v>
      </c>
      <c r="E8" s="12" t="s">
        <v>34</v>
      </c>
      <c r="F8" s="22" t="s">
        <v>16</v>
      </c>
      <c r="G8" s="9" t="s">
        <v>401</v>
      </c>
      <c r="H8" s="9" t="s">
        <v>384</v>
      </c>
      <c r="I8" s="9" t="s">
        <v>402</v>
      </c>
      <c r="J8" s="9" t="s">
        <v>403</v>
      </c>
      <c r="K8" s="9" t="s">
        <v>404</v>
      </c>
      <c r="L8" s="9" t="s">
        <v>405</v>
      </c>
      <c r="M8" s="9" t="s">
        <v>388</v>
      </c>
      <c r="N8" s="9" t="s">
        <v>117</v>
      </c>
      <c r="O8" s="9" t="s">
        <v>97</v>
      </c>
      <c r="P8" s="13" t="s">
        <v>98</v>
      </c>
      <c r="Q8" s="9" t="s">
        <v>389</v>
      </c>
      <c r="R8" s="9" t="s">
        <v>406</v>
      </c>
    </row>
    <row r="9" spans="1:18" ht="81.95" customHeight="1">
      <c r="A9" s="9" t="s">
        <v>379</v>
      </c>
      <c r="B9" s="9" t="s">
        <v>380</v>
      </c>
      <c r="C9" s="9" t="s">
        <v>407</v>
      </c>
      <c r="D9" s="9" t="s">
        <v>408</v>
      </c>
      <c r="E9" s="12" t="s">
        <v>34</v>
      </c>
      <c r="F9" s="22" t="s">
        <v>16</v>
      </c>
      <c r="G9" s="9" t="s">
        <v>409</v>
      </c>
      <c r="H9" s="9" t="s">
        <v>117</v>
      </c>
      <c r="I9" s="9" t="s">
        <v>410</v>
      </c>
      <c r="J9" s="9" t="s">
        <v>411</v>
      </c>
      <c r="K9" s="9" t="s">
        <v>412</v>
      </c>
      <c r="L9" s="9" t="s">
        <v>413</v>
      </c>
      <c r="M9" s="9" t="s">
        <v>414</v>
      </c>
      <c r="N9" s="9" t="s">
        <v>96</v>
      </c>
      <c r="O9" s="9" t="s">
        <v>97</v>
      </c>
      <c r="P9" s="13" t="s">
        <v>98</v>
      </c>
      <c r="Q9" s="9" t="s">
        <v>415</v>
      </c>
      <c r="R9" s="9" t="s">
        <v>416</v>
      </c>
    </row>
    <row r="10" spans="1:18" ht="81.95" customHeight="1">
      <c r="A10" s="9" t="s">
        <v>417</v>
      </c>
      <c r="B10" s="9" t="s">
        <v>418</v>
      </c>
      <c r="C10" s="9" t="s">
        <v>419</v>
      </c>
      <c r="D10" s="9" t="s">
        <v>420</v>
      </c>
      <c r="E10" s="12" t="s">
        <v>34</v>
      </c>
      <c r="F10" s="20" t="s">
        <v>16</v>
      </c>
      <c r="G10" s="9" t="s">
        <v>421</v>
      </c>
      <c r="H10" s="9" t="s">
        <v>384</v>
      </c>
      <c r="I10" s="9" t="s">
        <v>422</v>
      </c>
      <c r="J10" s="9" t="s">
        <v>423</v>
      </c>
      <c r="K10" s="9" t="s">
        <v>424</v>
      </c>
      <c r="L10" s="9" t="s">
        <v>425</v>
      </c>
      <c r="M10" s="9" t="s">
        <v>426</v>
      </c>
      <c r="N10" s="9" t="s">
        <v>96</v>
      </c>
      <c r="O10" s="9" t="s">
        <v>97</v>
      </c>
      <c r="P10" s="13" t="s">
        <v>98</v>
      </c>
      <c r="Q10" s="9" t="s">
        <v>221</v>
      </c>
      <c r="R10" s="9" t="s">
        <v>427</v>
      </c>
    </row>
    <row r="11" spans="1:18" ht="81.95" customHeight="1">
      <c r="A11" s="9" t="s">
        <v>428</v>
      </c>
      <c r="B11" s="9" t="s">
        <v>429</v>
      </c>
      <c r="C11" s="9" t="s">
        <v>430</v>
      </c>
      <c r="D11" s="9" t="s">
        <v>431</v>
      </c>
      <c r="E11" s="12" t="s">
        <v>34</v>
      </c>
      <c r="F11" s="20" t="s">
        <v>16</v>
      </c>
      <c r="G11" s="9" t="s">
        <v>432</v>
      </c>
      <c r="H11" s="9" t="s">
        <v>433</v>
      </c>
      <c r="I11" s="9" t="s">
        <v>434</v>
      </c>
      <c r="J11" s="9" t="s">
        <v>435</v>
      </c>
      <c r="K11" s="9" t="s">
        <v>436</v>
      </c>
      <c r="L11" s="9" t="s">
        <v>437</v>
      </c>
      <c r="M11" s="9" t="s">
        <v>438</v>
      </c>
      <c r="N11" s="9" t="s">
        <v>96</v>
      </c>
      <c r="O11" s="9" t="s">
        <v>97</v>
      </c>
      <c r="P11" s="13" t="s">
        <v>98</v>
      </c>
      <c r="Q11" s="9" t="s">
        <v>221</v>
      </c>
      <c r="R11" s="9" t="s">
        <v>439</v>
      </c>
    </row>
    <row r="12" spans="1:18" ht="81.95" customHeight="1">
      <c r="A12" s="9" t="s">
        <v>440</v>
      </c>
      <c r="B12" s="9" t="s">
        <v>441</v>
      </c>
      <c r="C12" s="9" t="s">
        <v>442</v>
      </c>
      <c r="D12" s="9" t="s">
        <v>443</v>
      </c>
      <c r="E12" s="12" t="s">
        <v>34</v>
      </c>
      <c r="F12" s="22" t="s">
        <v>16</v>
      </c>
      <c r="G12" s="9" t="s">
        <v>421</v>
      </c>
      <c r="H12" s="9" t="s">
        <v>384</v>
      </c>
      <c r="I12" s="9" t="s">
        <v>444</v>
      </c>
      <c r="J12" s="9" t="s">
        <v>445</v>
      </c>
      <c r="K12" s="9" t="s">
        <v>446</v>
      </c>
      <c r="L12" s="9" t="s">
        <v>447</v>
      </c>
      <c r="M12" s="9" t="s">
        <v>448</v>
      </c>
      <c r="N12" s="9" t="s">
        <v>96</v>
      </c>
      <c r="O12" s="9" t="s">
        <v>97</v>
      </c>
      <c r="P12" s="13" t="s">
        <v>98</v>
      </c>
      <c r="Q12" s="9" t="s">
        <v>449</v>
      </c>
      <c r="R12" s="9" t="s">
        <v>450</v>
      </c>
    </row>
    <row r="13" spans="1:18" ht="81.95" customHeight="1">
      <c r="A13" s="9" t="s">
        <v>451</v>
      </c>
      <c r="B13" s="9" t="s">
        <v>452</v>
      </c>
      <c r="C13" s="9" t="s">
        <v>453</v>
      </c>
      <c r="D13" s="9" t="s">
        <v>454</v>
      </c>
      <c r="E13" s="12" t="s">
        <v>34</v>
      </c>
      <c r="F13" s="20" t="s">
        <v>16</v>
      </c>
      <c r="G13" s="9" t="s">
        <v>421</v>
      </c>
      <c r="H13" s="9" t="s">
        <v>455</v>
      </c>
      <c r="I13" s="9" t="s">
        <v>456</v>
      </c>
      <c r="J13" s="9" t="s">
        <v>457</v>
      </c>
      <c r="K13" s="9" t="s">
        <v>458</v>
      </c>
      <c r="L13" s="9" t="s">
        <v>459</v>
      </c>
      <c r="M13" s="9" t="s">
        <v>460</v>
      </c>
      <c r="N13" s="9" t="s">
        <v>96</v>
      </c>
      <c r="O13" s="9" t="s">
        <v>97</v>
      </c>
      <c r="P13" s="13" t="s">
        <v>98</v>
      </c>
      <c r="Q13" s="9" t="s">
        <v>449</v>
      </c>
      <c r="R13" s="9" t="s">
        <v>461</v>
      </c>
    </row>
    <row r="14" spans="1:18" ht="81.95" customHeight="1">
      <c r="A14" s="9" t="s">
        <v>462</v>
      </c>
      <c r="B14" s="9" t="s">
        <v>463</v>
      </c>
      <c r="C14" s="9" t="s">
        <v>464</v>
      </c>
      <c r="D14" s="9" t="s">
        <v>465</v>
      </c>
      <c r="E14" s="12" t="s">
        <v>34</v>
      </c>
      <c r="F14" s="20" t="s">
        <v>16</v>
      </c>
      <c r="G14" s="9" t="s">
        <v>432</v>
      </c>
      <c r="H14" s="9" t="s">
        <v>433</v>
      </c>
      <c r="I14" s="9" t="s">
        <v>466</v>
      </c>
      <c r="J14" s="9" t="s">
        <v>467</v>
      </c>
      <c r="K14" s="9" t="s">
        <v>468</v>
      </c>
      <c r="L14" s="9" t="s">
        <v>469</v>
      </c>
      <c r="M14" s="9" t="s">
        <v>470</v>
      </c>
      <c r="N14" s="9" t="s">
        <v>96</v>
      </c>
      <c r="O14" s="9" t="s">
        <v>97</v>
      </c>
      <c r="P14" s="13" t="s">
        <v>98</v>
      </c>
      <c r="Q14" s="9" t="s">
        <v>221</v>
      </c>
      <c r="R14" s="9" t="s">
        <v>471</v>
      </c>
    </row>
    <row r="15" spans="1:18" ht="81.95" customHeight="1">
      <c r="A15" s="9" t="s">
        <v>472</v>
      </c>
      <c r="B15" s="9" t="s">
        <v>473</v>
      </c>
      <c r="C15" s="9" t="s">
        <v>474</v>
      </c>
      <c r="D15" s="9" t="s">
        <v>475</v>
      </c>
      <c r="E15" s="12" t="s">
        <v>34</v>
      </c>
      <c r="F15" s="22" t="s">
        <v>16</v>
      </c>
      <c r="G15" s="9" t="s">
        <v>476</v>
      </c>
      <c r="H15" s="9" t="s">
        <v>384</v>
      </c>
      <c r="I15" s="9" t="s">
        <v>477</v>
      </c>
      <c r="J15" s="9" t="s">
        <v>478</v>
      </c>
      <c r="K15" s="9" t="s">
        <v>479</v>
      </c>
      <c r="L15" s="9" t="s">
        <v>480</v>
      </c>
      <c r="M15" s="9" t="s">
        <v>388</v>
      </c>
      <c r="N15" s="9" t="s">
        <v>96</v>
      </c>
      <c r="O15" s="9" t="s">
        <v>97</v>
      </c>
      <c r="P15" s="13" t="s">
        <v>98</v>
      </c>
      <c r="Q15" s="9" t="s">
        <v>221</v>
      </c>
      <c r="R15" s="9" t="s">
        <v>481</v>
      </c>
    </row>
  </sheetData>
  <mergeCells count="2">
    <mergeCell ref="A3:R3"/>
    <mergeCell ref="A1:R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
  <sheetViews>
    <sheetView showGridLines="0" workbookViewId="0"/>
  </sheetViews>
  <sheetFormatPr defaultRowHeight="14.25"/>
  <cols>
    <col min="1" max="1" width="14" customWidth="1"/>
    <col min="2" max="2" width="18" customWidth="1"/>
    <col min="3" max="3" width="12" customWidth="1"/>
    <col min="4" max="4" width="20" customWidth="1"/>
    <col min="5" max="5" width="24" customWidth="1"/>
    <col min="6" max="6" width="50" customWidth="1"/>
    <col min="7" max="7" width="52" customWidth="1"/>
    <col min="8" max="8" width="48" customWidth="1"/>
    <col min="9" max="9" width="28" customWidth="1"/>
  </cols>
  <sheetData>
    <row r="1" spans="1:9" ht="36" customHeight="1">
      <c r="A1" s="104" t="s">
        <v>482</v>
      </c>
      <c r="B1" s="85"/>
      <c r="C1" s="85"/>
      <c r="D1" s="85"/>
      <c r="E1" s="85"/>
      <c r="F1" s="85"/>
      <c r="G1" s="85"/>
      <c r="H1" s="85"/>
      <c r="I1" s="85"/>
    </row>
    <row r="2" spans="1:9" ht="36" customHeight="1">
      <c r="A2" s="85"/>
      <c r="B2" s="85"/>
      <c r="C2" s="85"/>
      <c r="D2" s="85"/>
      <c r="E2" s="85"/>
      <c r="F2" s="85"/>
      <c r="G2" s="85"/>
      <c r="H2" s="85"/>
      <c r="I2" s="85"/>
    </row>
    <row r="3" spans="1:9">
      <c r="A3" s="103" t="s">
        <v>483</v>
      </c>
      <c r="B3" s="85"/>
      <c r="C3" s="85"/>
      <c r="D3" s="85"/>
      <c r="E3" s="85"/>
      <c r="F3" s="85"/>
      <c r="G3" s="85"/>
      <c r="H3" s="85"/>
      <c r="I3" s="85"/>
    </row>
    <row r="4" spans="1:9" ht="32.1" customHeight="1">
      <c r="A4" s="19" t="s">
        <v>250</v>
      </c>
      <c r="B4" s="19" t="s">
        <v>251</v>
      </c>
      <c r="C4" s="19" t="s">
        <v>26</v>
      </c>
      <c r="D4" s="19" t="s">
        <v>252</v>
      </c>
      <c r="E4" s="19" t="s">
        <v>253</v>
      </c>
      <c r="F4" s="19" t="s">
        <v>484</v>
      </c>
      <c r="G4" s="19" t="s">
        <v>485</v>
      </c>
      <c r="H4" s="19" t="s">
        <v>486</v>
      </c>
      <c r="I4" s="19" t="s">
        <v>487</v>
      </c>
    </row>
    <row r="5" spans="1:9" ht="98.1" customHeight="1">
      <c r="A5" s="9" t="s">
        <v>488</v>
      </c>
      <c r="B5" s="9" t="s">
        <v>442</v>
      </c>
      <c r="C5" s="21" t="s">
        <v>34</v>
      </c>
      <c r="D5" s="22" t="s">
        <v>17</v>
      </c>
      <c r="E5" s="9" t="s">
        <v>489</v>
      </c>
      <c r="F5" s="9" t="s">
        <v>490</v>
      </c>
      <c r="G5" s="9" t="s">
        <v>491</v>
      </c>
      <c r="H5" s="9" t="s">
        <v>492</v>
      </c>
      <c r="I5" s="9" t="s">
        <v>493</v>
      </c>
    </row>
    <row r="6" spans="1:9" ht="98.1" customHeight="1">
      <c r="A6" s="9" t="s">
        <v>494</v>
      </c>
      <c r="B6" s="9" t="s">
        <v>442</v>
      </c>
      <c r="C6" s="21" t="s">
        <v>41</v>
      </c>
      <c r="D6" s="22" t="s">
        <v>17</v>
      </c>
      <c r="E6" s="9" t="s">
        <v>495</v>
      </c>
      <c r="F6" s="9" t="s">
        <v>496</v>
      </c>
      <c r="G6" s="9" t="s">
        <v>497</v>
      </c>
      <c r="H6" s="9" t="s">
        <v>498</v>
      </c>
      <c r="I6" s="9" t="s">
        <v>493</v>
      </c>
    </row>
    <row r="7" spans="1:9" ht="98.1" customHeight="1">
      <c r="A7" s="9" t="s">
        <v>499</v>
      </c>
      <c r="B7" s="9" t="s">
        <v>500</v>
      </c>
      <c r="C7" s="21" t="s">
        <v>51</v>
      </c>
      <c r="D7" s="23" t="s">
        <v>20</v>
      </c>
      <c r="E7" s="9" t="s">
        <v>501</v>
      </c>
      <c r="F7" s="9" t="s">
        <v>502</v>
      </c>
      <c r="G7" s="9" t="s">
        <v>503</v>
      </c>
      <c r="H7" s="9" t="s">
        <v>504</v>
      </c>
      <c r="I7" s="9" t="s">
        <v>505</v>
      </c>
    </row>
  </sheetData>
  <mergeCells count="2">
    <mergeCell ref="A1:I2"/>
    <mergeCell ref="A3:I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showGridLines="0" workbookViewId="0"/>
  </sheetViews>
  <sheetFormatPr defaultRowHeight="14.25"/>
  <cols>
    <col min="1" max="1" width="28" customWidth="1"/>
    <col min="2" max="2" width="24" customWidth="1"/>
    <col min="3" max="3" width="30" customWidth="1"/>
    <col min="4" max="4" width="12" customWidth="1"/>
    <col min="5" max="5" width="28" customWidth="1"/>
    <col min="6" max="6" width="58" customWidth="1"/>
  </cols>
  <sheetData>
    <row r="1" spans="1:6" ht="36" customHeight="1">
      <c r="A1" s="104" t="s">
        <v>506</v>
      </c>
      <c r="B1" s="85"/>
      <c r="C1" s="85"/>
      <c r="D1" s="85"/>
      <c r="E1" s="85"/>
      <c r="F1" s="85"/>
    </row>
    <row r="2" spans="1:6" ht="36" customHeight="1">
      <c r="A2" s="85"/>
      <c r="B2" s="85"/>
      <c r="C2" s="85"/>
      <c r="D2" s="85"/>
      <c r="E2" s="85"/>
      <c r="F2" s="85"/>
    </row>
    <row r="3" spans="1:6">
      <c r="A3" s="103" t="s">
        <v>507</v>
      </c>
      <c r="B3" s="85"/>
      <c r="C3" s="85"/>
      <c r="D3" s="85"/>
      <c r="E3" s="85"/>
      <c r="F3" s="85"/>
    </row>
    <row r="4" spans="1:6" ht="32.1" customHeight="1">
      <c r="A4" s="19" t="s">
        <v>508</v>
      </c>
      <c r="B4" s="19" t="s">
        <v>77</v>
      </c>
      <c r="C4" s="19" t="s">
        <v>509</v>
      </c>
      <c r="D4" s="19" t="s">
        <v>73</v>
      </c>
      <c r="E4" s="19" t="s">
        <v>510</v>
      </c>
      <c r="F4" s="19" t="s">
        <v>84</v>
      </c>
    </row>
    <row r="5" spans="1:6" ht="48" customHeight="1">
      <c r="A5" s="9" t="s">
        <v>511</v>
      </c>
      <c r="B5" s="9" t="s">
        <v>343</v>
      </c>
      <c r="C5" s="9" t="s">
        <v>343</v>
      </c>
      <c r="D5" s="20" t="s">
        <v>16</v>
      </c>
      <c r="E5" s="9" t="s">
        <v>512</v>
      </c>
      <c r="F5" s="9" t="s">
        <v>513</v>
      </c>
    </row>
    <row r="6" spans="1:6" ht="48" customHeight="1">
      <c r="A6" s="9" t="s">
        <v>514</v>
      </c>
      <c r="B6" s="9" t="s">
        <v>343</v>
      </c>
      <c r="C6" s="9" t="s">
        <v>343</v>
      </c>
      <c r="D6" s="20" t="s">
        <v>16</v>
      </c>
      <c r="E6" s="9" t="s">
        <v>515</v>
      </c>
      <c r="F6" s="9" t="s">
        <v>516</v>
      </c>
    </row>
    <row r="7" spans="1:6" ht="48" customHeight="1">
      <c r="A7" s="9" t="s">
        <v>517</v>
      </c>
      <c r="B7" s="9" t="s">
        <v>343</v>
      </c>
      <c r="C7" s="9" t="s">
        <v>343</v>
      </c>
      <c r="D7" s="20" t="s">
        <v>16</v>
      </c>
      <c r="E7" s="9" t="s">
        <v>518</v>
      </c>
      <c r="F7" s="9" t="s">
        <v>519</v>
      </c>
    </row>
    <row r="8" spans="1:6" ht="48" customHeight="1">
      <c r="A8" s="9" t="s">
        <v>520</v>
      </c>
      <c r="B8" s="9" t="s">
        <v>521</v>
      </c>
      <c r="C8" s="9" t="s">
        <v>521</v>
      </c>
      <c r="D8" s="20" t="s">
        <v>16</v>
      </c>
      <c r="E8" s="9" t="s">
        <v>522</v>
      </c>
      <c r="F8" s="9" t="s">
        <v>523</v>
      </c>
    </row>
    <row r="9" spans="1:6" ht="48" customHeight="1">
      <c r="A9" s="9" t="s">
        <v>524</v>
      </c>
      <c r="B9" s="9" t="s">
        <v>343</v>
      </c>
      <c r="C9" s="9" t="s">
        <v>343</v>
      </c>
      <c r="D9" s="20" t="s">
        <v>16</v>
      </c>
      <c r="E9" s="9" t="s">
        <v>525</v>
      </c>
      <c r="F9" s="9" t="s">
        <v>526</v>
      </c>
    </row>
    <row r="10" spans="1:6" ht="48" customHeight="1">
      <c r="A10" s="9" t="s">
        <v>527</v>
      </c>
      <c r="B10" s="9" t="s">
        <v>343</v>
      </c>
      <c r="C10" s="9" t="s">
        <v>343</v>
      </c>
      <c r="D10" s="20" t="s">
        <v>16</v>
      </c>
      <c r="E10" s="9" t="s">
        <v>528</v>
      </c>
      <c r="F10" s="9" t="s">
        <v>523</v>
      </c>
    </row>
    <row r="11" spans="1:6" ht="48" customHeight="1">
      <c r="A11" s="9" t="s">
        <v>529</v>
      </c>
      <c r="B11" s="9" t="s">
        <v>343</v>
      </c>
      <c r="C11" s="9" t="s">
        <v>343</v>
      </c>
      <c r="D11" s="20" t="s">
        <v>16</v>
      </c>
      <c r="E11" s="9" t="s">
        <v>530</v>
      </c>
      <c r="F11" s="9" t="s">
        <v>531</v>
      </c>
    </row>
    <row r="12" spans="1:6" ht="48" customHeight="1">
      <c r="A12" s="9" t="s">
        <v>532</v>
      </c>
      <c r="B12" s="9" t="s">
        <v>343</v>
      </c>
      <c r="C12" s="9" t="s">
        <v>343</v>
      </c>
      <c r="D12" s="20" t="s">
        <v>16</v>
      </c>
      <c r="E12" s="9" t="s">
        <v>533</v>
      </c>
      <c r="F12" s="9" t="s">
        <v>534</v>
      </c>
    </row>
    <row r="13" spans="1:6" ht="48" customHeight="1">
      <c r="A13" s="9" t="s">
        <v>344</v>
      </c>
      <c r="B13" s="9" t="s">
        <v>345</v>
      </c>
      <c r="C13" s="9" t="s">
        <v>345</v>
      </c>
      <c r="D13" s="20" t="s">
        <v>16</v>
      </c>
      <c r="E13" s="9" t="s">
        <v>535</v>
      </c>
      <c r="F13" s="9" t="s">
        <v>536</v>
      </c>
    </row>
    <row r="14" spans="1:6" ht="48" customHeight="1">
      <c r="A14" s="9" t="s">
        <v>537</v>
      </c>
      <c r="B14" s="9" t="s">
        <v>538</v>
      </c>
      <c r="C14" s="9" t="s">
        <v>538</v>
      </c>
      <c r="D14" s="20" t="s">
        <v>16</v>
      </c>
      <c r="E14" s="9" t="s">
        <v>539</v>
      </c>
      <c r="F14" s="9" t="s">
        <v>540</v>
      </c>
    </row>
    <row r="15" spans="1:6" ht="48" customHeight="1">
      <c r="A15" s="9" t="s">
        <v>541</v>
      </c>
      <c r="B15" s="9" t="s">
        <v>542</v>
      </c>
      <c r="C15" s="9" t="s">
        <v>542</v>
      </c>
      <c r="D15" s="20" t="s">
        <v>16</v>
      </c>
      <c r="E15" s="9" t="s">
        <v>543</v>
      </c>
      <c r="F15" s="9" t="s">
        <v>544</v>
      </c>
    </row>
    <row r="16" spans="1:6" ht="48" customHeight="1">
      <c r="A16" s="9" t="s">
        <v>545</v>
      </c>
      <c r="B16" s="9" t="s">
        <v>546</v>
      </c>
      <c r="C16" s="9" t="s">
        <v>546</v>
      </c>
      <c r="D16" s="20" t="s">
        <v>16</v>
      </c>
      <c r="E16" s="9" t="s">
        <v>543</v>
      </c>
      <c r="F16" s="9" t="s">
        <v>547</v>
      </c>
    </row>
    <row r="17" spans="1:6" ht="48" customHeight="1">
      <c r="A17" s="9" t="s">
        <v>548</v>
      </c>
      <c r="B17" s="9" t="s">
        <v>549</v>
      </c>
      <c r="C17" s="9" t="s">
        <v>549</v>
      </c>
      <c r="D17" s="20" t="s">
        <v>16</v>
      </c>
      <c r="E17" s="9" t="s">
        <v>543</v>
      </c>
      <c r="F17" s="9" t="s">
        <v>550</v>
      </c>
    </row>
    <row r="18" spans="1:6" ht="48" customHeight="1">
      <c r="A18" s="9" t="s">
        <v>551</v>
      </c>
      <c r="B18" s="9" t="s">
        <v>552</v>
      </c>
      <c r="C18" s="9" t="s">
        <v>552</v>
      </c>
      <c r="D18" s="20" t="s">
        <v>16</v>
      </c>
      <c r="E18" s="9" t="s">
        <v>543</v>
      </c>
      <c r="F18" s="9" t="s">
        <v>553</v>
      </c>
    </row>
    <row r="19" spans="1:6" ht="48" customHeight="1">
      <c r="A19" s="9" t="s">
        <v>554</v>
      </c>
      <c r="B19" s="9" t="s">
        <v>347</v>
      </c>
      <c r="C19" s="9" t="s">
        <v>555</v>
      </c>
      <c r="D19" s="20" t="s">
        <v>16</v>
      </c>
      <c r="E19" s="9" t="s">
        <v>556</v>
      </c>
      <c r="F19" s="9" t="s">
        <v>557</v>
      </c>
    </row>
    <row r="20" spans="1:6" ht="48" customHeight="1">
      <c r="A20" s="9" t="s">
        <v>558</v>
      </c>
      <c r="B20" s="9" t="s">
        <v>559</v>
      </c>
      <c r="C20" s="9" t="s">
        <v>347</v>
      </c>
      <c r="D20" s="22" t="s">
        <v>16</v>
      </c>
      <c r="E20" s="9" t="s">
        <v>444</v>
      </c>
      <c r="F20" s="9" t="s">
        <v>560</v>
      </c>
    </row>
    <row r="21" spans="1:6" ht="48" customHeight="1">
      <c r="A21" s="9" t="s">
        <v>561</v>
      </c>
      <c r="B21" s="9" t="s">
        <v>562</v>
      </c>
      <c r="C21" s="9" t="s">
        <v>341</v>
      </c>
      <c r="D21" s="20" t="s">
        <v>16</v>
      </c>
      <c r="E21" s="9" t="s">
        <v>563</v>
      </c>
      <c r="F21" s="9" t="s">
        <v>564</v>
      </c>
    </row>
    <row r="22" spans="1:6" ht="48" customHeight="1">
      <c r="A22" s="9" t="s">
        <v>565</v>
      </c>
      <c r="B22" s="9" t="s">
        <v>566</v>
      </c>
      <c r="C22" s="9" t="s">
        <v>566</v>
      </c>
      <c r="D22" s="20" t="s">
        <v>16</v>
      </c>
      <c r="E22" s="9" t="s">
        <v>533</v>
      </c>
      <c r="F22" s="9" t="s">
        <v>567</v>
      </c>
    </row>
    <row r="23" spans="1:6">
      <c r="A23" s="105" t="s">
        <v>568</v>
      </c>
      <c r="B23" s="87"/>
      <c r="C23" s="87"/>
      <c r="D23" s="87"/>
      <c r="E23" s="87"/>
      <c r="F23" s="88"/>
    </row>
    <row r="24" spans="1:6">
      <c r="A24" s="89"/>
      <c r="B24" s="85"/>
      <c r="C24" s="85"/>
      <c r="D24" s="85"/>
      <c r="E24" s="85"/>
      <c r="F24" s="90"/>
    </row>
    <row r="25" spans="1:6">
      <c r="A25" s="91"/>
      <c r="B25" s="92"/>
      <c r="C25" s="92"/>
      <c r="D25" s="92"/>
      <c r="E25" s="92"/>
      <c r="F25" s="93"/>
    </row>
    <row r="27" spans="1:6" ht="15">
      <c r="A27" s="24" t="s">
        <v>569</v>
      </c>
      <c r="B27" s="24" t="s">
        <v>77</v>
      </c>
      <c r="C27" s="24" t="s">
        <v>509</v>
      </c>
      <c r="D27" s="24" t="s">
        <v>252</v>
      </c>
      <c r="E27" s="24" t="s">
        <v>510</v>
      </c>
      <c r="F27" s="24" t="s">
        <v>84</v>
      </c>
    </row>
    <row r="28" spans="1:6" ht="29.25">
      <c r="A28" s="25" t="s">
        <v>570</v>
      </c>
      <c r="B28" s="25" t="s">
        <v>571</v>
      </c>
      <c r="C28" s="25" t="s">
        <v>572</v>
      </c>
      <c r="D28" s="26" t="s">
        <v>16</v>
      </c>
      <c r="E28" s="25" t="s">
        <v>392</v>
      </c>
      <c r="F28" s="25" t="s">
        <v>573</v>
      </c>
    </row>
    <row r="29" spans="1:6" ht="29.25">
      <c r="A29" s="25" t="s">
        <v>574</v>
      </c>
      <c r="B29" s="25" t="s">
        <v>575</v>
      </c>
      <c r="C29" s="25" t="s">
        <v>576</v>
      </c>
      <c r="D29" s="26" t="s">
        <v>16</v>
      </c>
      <c r="E29" s="25" t="s">
        <v>577</v>
      </c>
      <c r="F29" s="25" t="s">
        <v>578</v>
      </c>
    </row>
    <row r="30" spans="1:6" ht="29.25">
      <c r="A30" s="25" t="s">
        <v>579</v>
      </c>
      <c r="B30" s="25" t="s">
        <v>580</v>
      </c>
      <c r="C30" s="25" t="s">
        <v>581</v>
      </c>
      <c r="D30" s="26" t="s">
        <v>16</v>
      </c>
      <c r="E30" s="25" t="s">
        <v>582</v>
      </c>
      <c r="F30" s="25" t="s">
        <v>583</v>
      </c>
    </row>
  </sheetData>
  <mergeCells count="3">
    <mergeCell ref="A3:F3"/>
    <mergeCell ref="A23:F25"/>
    <mergeCell ref="A1:F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4.25"/>
  <cols>
    <col min="1" max="1" width="16" customWidth="1"/>
    <col min="2" max="2" width="25" customWidth="1"/>
    <col min="3" max="3" width="32" customWidth="1"/>
    <col min="4" max="4" width="34" customWidth="1"/>
    <col min="5" max="5" width="19" customWidth="1"/>
    <col min="6" max="6" width="18" customWidth="1"/>
    <col min="7" max="7" width="20" customWidth="1"/>
    <col min="8" max="8" width="34" customWidth="1"/>
  </cols>
  <sheetData>
    <row r="1" spans="1:8" ht="33.950000000000003" customHeight="1">
      <c r="A1" s="106" t="s">
        <v>584</v>
      </c>
      <c r="B1" s="85"/>
      <c r="C1" s="85"/>
      <c r="D1" s="85"/>
      <c r="E1" s="85"/>
      <c r="F1" s="85"/>
      <c r="G1" s="85"/>
      <c r="H1" s="85"/>
    </row>
    <row r="2" spans="1:8" ht="33.950000000000003" customHeight="1">
      <c r="A2" s="85"/>
      <c r="B2" s="85"/>
      <c r="C2" s="85"/>
      <c r="D2" s="85"/>
      <c r="E2" s="85"/>
      <c r="F2" s="85"/>
      <c r="G2" s="85"/>
      <c r="H2" s="85"/>
    </row>
    <row r="3" spans="1:8" ht="29.25">
      <c r="A3" s="1" t="s">
        <v>1</v>
      </c>
      <c r="B3" s="25" t="s">
        <v>2</v>
      </c>
      <c r="D3" s="1" t="s">
        <v>322</v>
      </c>
      <c r="E3" s="25" t="s">
        <v>389</v>
      </c>
      <c r="G3" s="1" t="s">
        <v>585</v>
      </c>
      <c r="H3" s="2" t="s">
        <v>16</v>
      </c>
    </row>
    <row r="4" spans="1:8" ht="29.25">
      <c r="A4" s="1" t="s">
        <v>5</v>
      </c>
      <c r="B4" s="25" t="s">
        <v>6</v>
      </c>
      <c r="D4" s="1" t="s">
        <v>324</v>
      </c>
      <c r="E4" s="25" t="s">
        <v>586</v>
      </c>
      <c r="G4" s="1" t="s">
        <v>326</v>
      </c>
      <c r="H4" s="2" t="s">
        <v>327</v>
      </c>
    </row>
    <row r="5" spans="1:8" ht="29.25">
      <c r="A5" s="1" t="s">
        <v>587</v>
      </c>
      <c r="B5" s="25" t="s">
        <v>588</v>
      </c>
      <c r="D5" s="1" t="s">
        <v>589</v>
      </c>
      <c r="E5" s="25" t="s">
        <v>590</v>
      </c>
      <c r="G5" s="1" t="s">
        <v>331</v>
      </c>
      <c r="H5" s="2" t="s">
        <v>16</v>
      </c>
    </row>
    <row r="6" spans="1:8" ht="29.25">
      <c r="A6" s="1" t="s">
        <v>9</v>
      </c>
      <c r="B6" s="25" t="s">
        <v>591</v>
      </c>
      <c r="D6" s="1" t="s">
        <v>592</v>
      </c>
      <c r="E6" s="25" t="s">
        <v>593</v>
      </c>
      <c r="G6" s="1" t="s">
        <v>335</v>
      </c>
      <c r="H6" s="2" t="s">
        <v>16</v>
      </c>
    </row>
    <row r="8" spans="1:8" ht="15">
      <c r="A8" s="29" t="s">
        <v>594</v>
      </c>
      <c r="B8" s="29" t="s">
        <v>595</v>
      </c>
      <c r="D8" s="108" t="str">
        <f>IF(B10&gt;0,"STOP - PRODUCT FAILURE FOUND",IF(B11&gt;0,"SAFE CHECKS PASS; ONE QA TOOL STEP BLOCKED","ALL COMPLEX CASES PASS"))</f>
        <v>SAFE CHECKS PASS; ONE QA TOOL STEP BLOCKED</v>
      </c>
      <c r="E8" s="109"/>
      <c r="F8" s="109"/>
      <c r="G8" s="109"/>
      <c r="H8" s="79"/>
    </row>
    <row r="9" spans="1:8" ht="15">
      <c r="A9" s="30" t="s">
        <v>16</v>
      </c>
      <c r="B9" s="30">
        <v>4</v>
      </c>
      <c r="D9" s="80"/>
      <c r="E9" s="85"/>
      <c r="F9" s="85"/>
      <c r="G9" s="85"/>
      <c r="H9" s="81"/>
    </row>
    <row r="10" spans="1:8" ht="15">
      <c r="A10" s="31" t="s">
        <v>19</v>
      </c>
      <c r="B10" s="31">
        <v>0</v>
      </c>
      <c r="D10" s="80"/>
      <c r="E10" s="85"/>
      <c r="F10" s="85"/>
      <c r="G10" s="85"/>
      <c r="H10" s="81"/>
    </row>
    <row r="11" spans="1:8" ht="30">
      <c r="A11" s="32" t="s">
        <v>596</v>
      </c>
      <c r="B11" s="32">
        <v>1</v>
      </c>
      <c r="D11" s="80"/>
      <c r="E11" s="85"/>
      <c r="F11" s="85"/>
      <c r="G11" s="85"/>
      <c r="H11" s="81"/>
    </row>
    <row r="12" spans="1:8" ht="15">
      <c r="A12" s="28" t="s">
        <v>23</v>
      </c>
      <c r="B12" s="28">
        <v>5</v>
      </c>
      <c r="D12" s="82"/>
      <c r="E12" s="110"/>
      <c r="F12" s="110"/>
      <c r="G12" s="110"/>
      <c r="H12" s="83"/>
    </row>
    <row r="15" spans="1:8" ht="57.95" customHeight="1">
      <c r="A15" s="29" t="s">
        <v>26</v>
      </c>
      <c r="B15" s="29" t="s">
        <v>484</v>
      </c>
      <c r="C15" s="29" t="s">
        <v>597</v>
      </c>
      <c r="D15" s="29" t="s">
        <v>598</v>
      </c>
      <c r="E15" s="29" t="s">
        <v>30</v>
      </c>
      <c r="F15" s="29" t="s">
        <v>31</v>
      </c>
      <c r="G15" s="29" t="s">
        <v>351</v>
      </c>
      <c r="H15" s="29" t="s">
        <v>32</v>
      </c>
    </row>
    <row r="16" spans="1:8" ht="57.95" customHeight="1">
      <c r="A16" s="27" t="s">
        <v>41</v>
      </c>
      <c r="B16" s="27" t="s">
        <v>599</v>
      </c>
      <c r="C16" s="27" t="s">
        <v>600</v>
      </c>
      <c r="D16" s="27" t="s">
        <v>601</v>
      </c>
      <c r="E16" s="33" t="s">
        <v>17</v>
      </c>
      <c r="F16" s="27" t="s">
        <v>38</v>
      </c>
      <c r="G16" s="27" t="s">
        <v>602</v>
      </c>
      <c r="H16" s="27" t="s">
        <v>603</v>
      </c>
    </row>
    <row r="17" spans="1:8" ht="57.95" customHeight="1">
      <c r="A17" s="27" t="s">
        <v>41</v>
      </c>
      <c r="B17" s="27" t="s">
        <v>604</v>
      </c>
      <c r="C17" s="27" t="s">
        <v>605</v>
      </c>
      <c r="D17" s="27" t="s">
        <v>606</v>
      </c>
      <c r="E17" s="33" t="s">
        <v>17</v>
      </c>
      <c r="F17" s="27" t="s">
        <v>38</v>
      </c>
      <c r="G17" s="27" t="s">
        <v>607</v>
      </c>
      <c r="H17" s="27" t="s">
        <v>608</v>
      </c>
    </row>
    <row r="18" spans="1:8" ht="57.95" customHeight="1">
      <c r="A18" s="27" t="s">
        <v>365</v>
      </c>
      <c r="B18" s="27" t="s">
        <v>609</v>
      </c>
      <c r="C18" s="27" t="s">
        <v>610</v>
      </c>
      <c r="D18" s="27" t="s">
        <v>611</v>
      </c>
      <c r="E18" s="34" t="s">
        <v>612</v>
      </c>
      <c r="F18" s="27" t="s">
        <v>613</v>
      </c>
      <c r="G18" s="27" t="s">
        <v>614</v>
      </c>
      <c r="H18" s="27" t="s">
        <v>615</v>
      </c>
    </row>
    <row r="21" spans="1:8">
      <c r="A21" s="107" t="s">
        <v>616</v>
      </c>
      <c r="B21" s="87"/>
      <c r="C21" s="87"/>
      <c r="D21" s="87"/>
      <c r="E21" s="87"/>
      <c r="F21" s="87"/>
      <c r="G21" s="87"/>
      <c r="H21" s="88"/>
    </row>
    <row r="22" spans="1:8">
      <c r="A22" s="89"/>
      <c r="B22" s="85"/>
      <c r="C22" s="85"/>
      <c r="D22" s="85"/>
      <c r="E22" s="85"/>
      <c r="F22" s="85"/>
      <c r="G22" s="85"/>
      <c r="H22" s="90"/>
    </row>
    <row r="23" spans="1:8">
      <c r="A23" s="89"/>
      <c r="B23" s="85"/>
      <c r="C23" s="85"/>
      <c r="D23" s="85"/>
      <c r="E23" s="85"/>
      <c r="F23" s="85"/>
      <c r="G23" s="85"/>
      <c r="H23" s="90"/>
    </row>
    <row r="24" spans="1:8">
      <c r="A24" s="91"/>
      <c r="B24" s="92"/>
      <c r="C24" s="92"/>
      <c r="D24" s="92"/>
      <c r="E24" s="92"/>
      <c r="F24" s="92"/>
      <c r="G24" s="92"/>
      <c r="H24" s="93"/>
    </row>
  </sheetData>
  <mergeCells count="3">
    <mergeCell ref="A1:H2"/>
    <mergeCell ref="A21:H24"/>
    <mergeCell ref="D8:H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
  <sheetViews>
    <sheetView workbookViewId="0">
      <selection sqref="A1:O2"/>
    </sheetView>
  </sheetViews>
  <sheetFormatPr defaultRowHeight="14.25"/>
  <cols>
    <col min="1" max="1" width="10" customWidth="1"/>
    <col min="2" max="2" width="28" customWidth="1"/>
    <col min="3" max="3" width="16" customWidth="1"/>
    <col min="4" max="4" width="11" customWidth="1"/>
    <col min="5" max="5" width="18" customWidth="1"/>
    <col min="6" max="6" width="24" customWidth="1"/>
    <col min="7" max="7" width="34" customWidth="1"/>
    <col min="8" max="8" width="42" customWidth="1"/>
    <col min="9" max="9" width="40" customWidth="1"/>
    <col min="10" max="10" width="44" customWidth="1"/>
    <col min="11" max="11" width="26" customWidth="1"/>
    <col min="12" max="12" width="44" customWidth="1"/>
    <col min="13" max="13" width="36" customWidth="1"/>
    <col min="14" max="14" width="22" customWidth="1"/>
    <col min="15" max="15" width="36" customWidth="1"/>
  </cols>
  <sheetData>
    <row r="1" spans="1:15" ht="33.950000000000003" customHeight="1">
      <c r="A1" s="106" t="s">
        <v>617</v>
      </c>
      <c r="B1" s="85"/>
      <c r="C1" s="85"/>
      <c r="D1" s="85"/>
      <c r="E1" s="85"/>
      <c r="F1" s="85"/>
      <c r="G1" s="85"/>
      <c r="H1" s="85"/>
      <c r="I1" s="85"/>
      <c r="J1" s="85"/>
      <c r="K1" s="85"/>
      <c r="L1" s="85"/>
      <c r="M1" s="85"/>
      <c r="N1" s="85"/>
      <c r="O1" s="85"/>
    </row>
    <row r="2" spans="1:15" ht="33.950000000000003" customHeight="1">
      <c r="A2" s="85"/>
      <c r="B2" s="85"/>
      <c r="C2" s="85"/>
      <c r="D2" s="85"/>
      <c r="E2" s="85"/>
      <c r="F2" s="85"/>
      <c r="G2" s="85"/>
      <c r="H2" s="85"/>
      <c r="I2" s="85"/>
      <c r="J2" s="85"/>
      <c r="K2" s="85"/>
      <c r="L2" s="85"/>
      <c r="M2" s="85"/>
      <c r="N2" s="85"/>
      <c r="O2" s="85"/>
    </row>
    <row r="3" spans="1:15">
      <c r="A3" s="111" t="s">
        <v>618</v>
      </c>
      <c r="B3" s="85"/>
      <c r="C3" s="85"/>
      <c r="D3" s="85"/>
      <c r="E3" s="85"/>
      <c r="F3" s="85"/>
      <c r="G3" s="85"/>
      <c r="H3" s="85"/>
      <c r="I3" s="85"/>
      <c r="J3" s="85"/>
      <c r="K3" s="85"/>
      <c r="L3" s="85"/>
      <c r="M3" s="85"/>
      <c r="N3" s="85"/>
      <c r="O3" s="85"/>
    </row>
    <row r="5" spans="1:15" ht="74.099999999999994" customHeight="1">
      <c r="A5" s="29" t="s">
        <v>619</v>
      </c>
      <c r="B5" s="29" t="s">
        <v>620</v>
      </c>
      <c r="C5" s="29" t="s">
        <v>621</v>
      </c>
      <c r="D5" s="29" t="s">
        <v>26</v>
      </c>
      <c r="E5" s="29" t="s">
        <v>252</v>
      </c>
      <c r="F5" s="29" t="s">
        <v>622</v>
      </c>
      <c r="G5" s="29" t="s">
        <v>623</v>
      </c>
      <c r="H5" s="29" t="s">
        <v>624</v>
      </c>
      <c r="I5" s="29" t="s">
        <v>77</v>
      </c>
      <c r="J5" s="29" t="s">
        <v>509</v>
      </c>
      <c r="K5" s="29" t="s">
        <v>625</v>
      </c>
      <c r="L5" s="29" t="s">
        <v>626</v>
      </c>
      <c r="M5" s="29" t="s">
        <v>627</v>
      </c>
      <c r="N5" s="29" t="s">
        <v>628</v>
      </c>
      <c r="O5" s="29" t="s">
        <v>84</v>
      </c>
    </row>
    <row r="6" spans="1:15" ht="74.099999999999994" customHeight="1">
      <c r="A6" s="27" t="s">
        <v>629</v>
      </c>
      <c r="B6" s="27" t="s">
        <v>630</v>
      </c>
      <c r="C6" s="27" t="s">
        <v>631</v>
      </c>
      <c r="D6" s="27" t="s">
        <v>41</v>
      </c>
      <c r="E6" s="33" t="s">
        <v>16</v>
      </c>
      <c r="F6" s="27" t="s">
        <v>632</v>
      </c>
      <c r="G6" s="27" t="s">
        <v>633</v>
      </c>
      <c r="H6" s="27" t="s">
        <v>634</v>
      </c>
      <c r="I6" s="27" t="s">
        <v>635</v>
      </c>
      <c r="J6" s="27" t="s">
        <v>636</v>
      </c>
      <c r="K6" s="27" t="s">
        <v>637</v>
      </c>
      <c r="L6" s="27" t="s">
        <v>638</v>
      </c>
      <c r="M6" s="27" t="s">
        <v>639</v>
      </c>
      <c r="N6" s="27" t="s">
        <v>640</v>
      </c>
      <c r="O6" s="27" t="s">
        <v>641</v>
      </c>
    </row>
    <row r="7" spans="1:15" ht="74.099999999999994" customHeight="1">
      <c r="A7" s="27" t="s">
        <v>642</v>
      </c>
      <c r="B7" s="27" t="s">
        <v>643</v>
      </c>
      <c r="C7" s="27" t="s">
        <v>631</v>
      </c>
      <c r="D7" s="27" t="s">
        <v>34</v>
      </c>
      <c r="E7" s="33" t="s">
        <v>16</v>
      </c>
      <c r="F7" s="27" t="s">
        <v>632</v>
      </c>
      <c r="G7" s="27" t="s">
        <v>644</v>
      </c>
      <c r="H7" s="27" t="s">
        <v>645</v>
      </c>
      <c r="I7" s="27" t="s">
        <v>646</v>
      </c>
      <c r="J7" s="27" t="s">
        <v>647</v>
      </c>
      <c r="K7" s="27" t="s">
        <v>637</v>
      </c>
      <c r="L7" s="27" t="s">
        <v>648</v>
      </c>
      <c r="M7" s="27" t="s">
        <v>649</v>
      </c>
      <c r="N7" s="27" t="s">
        <v>16</v>
      </c>
      <c r="O7" s="27" t="s">
        <v>650</v>
      </c>
    </row>
    <row r="8" spans="1:15" ht="74.099999999999994" customHeight="1">
      <c r="A8" s="27" t="s">
        <v>651</v>
      </c>
      <c r="B8" s="27" t="s">
        <v>652</v>
      </c>
      <c r="C8" s="27" t="s">
        <v>631</v>
      </c>
      <c r="D8" s="27" t="s">
        <v>34</v>
      </c>
      <c r="E8" s="33" t="s">
        <v>16</v>
      </c>
      <c r="F8" s="27" t="s">
        <v>653</v>
      </c>
      <c r="G8" s="27" t="s">
        <v>654</v>
      </c>
      <c r="H8" s="27" t="s">
        <v>655</v>
      </c>
      <c r="I8" s="27" t="s">
        <v>656</v>
      </c>
      <c r="J8" s="27" t="s">
        <v>657</v>
      </c>
      <c r="K8" s="27" t="s">
        <v>117</v>
      </c>
      <c r="L8" s="27" t="s">
        <v>658</v>
      </c>
      <c r="M8" s="27" t="s">
        <v>649</v>
      </c>
      <c r="N8" s="27" t="s">
        <v>16</v>
      </c>
      <c r="O8" s="27" t="s">
        <v>659</v>
      </c>
    </row>
    <row r="9" spans="1:15" ht="74.099999999999994" customHeight="1">
      <c r="A9" s="27" t="s">
        <v>660</v>
      </c>
      <c r="B9" s="27" t="s">
        <v>661</v>
      </c>
      <c r="C9" s="27" t="s">
        <v>631</v>
      </c>
      <c r="D9" s="27" t="s">
        <v>34</v>
      </c>
      <c r="E9" s="33" t="s">
        <v>16</v>
      </c>
      <c r="F9" s="27" t="s">
        <v>653</v>
      </c>
      <c r="G9" s="27" t="s">
        <v>662</v>
      </c>
      <c r="H9" s="27" t="s">
        <v>663</v>
      </c>
      <c r="I9" s="27" t="s">
        <v>664</v>
      </c>
      <c r="J9" s="27" t="s">
        <v>665</v>
      </c>
      <c r="K9" s="27" t="s">
        <v>666</v>
      </c>
      <c r="L9" s="27" t="s">
        <v>667</v>
      </c>
      <c r="M9" s="27" t="s">
        <v>649</v>
      </c>
      <c r="N9" s="27" t="s">
        <v>16</v>
      </c>
      <c r="O9" s="27" t="s">
        <v>668</v>
      </c>
    </row>
    <row r="10" spans="1:15" ht="74.099999999999994" customHeight="1">
      <c r="A10" s="27" t="s">
        <v>669</v>
      </c>
      <c r="B10" s="27" t="s">
        <v>670</v>
      </c>
      <c r="C10" s="27" t="s">
        <v>671</v>
      </c>
      <c r="D10" s="27" t="s">
        <v>41</v>
      </c>
      <c r="E10" s="34" t="s">
        <v>596</v>
      </c>
      <c r="F10" s="27" t="s">
        <v>632</v>
      </c>
      <c r="G10" s="27" t="s">
        <v>672</v>
      </c>
      <c r="H10" s="27" t="s">
        <v>673</v>
      </c>
      <c r="I10" s="27" t="s">
        <v>674</v>
      </c>
      <c r="J10" s="27" t="s">
        <v>675</v>
      </c>
      <c r="K10" s="27" t="s">
        <v>676</v>
      </c>
      <c r="L10" s="27" t="s">
        <v>677</v>
      </c>
      <c r="M10" s="27" t="s">
        <v>678</v>
      </c>
      <c r="N10" s="27" t="s">
        <v>679</v>
      </c>
      <c r="O10" s="27" t="s">
        <v>680</v>
      </c>
    </row>
  </sheetData>
  <mergeCells count="2">
    <mergeCell ref="A1:O2"/>
    <mergeCell ref="A3:O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2"/>
  <sheetViews>
    <sheetView workbookViewId="0">
      <selection sqref="A1:H2"/>
    </sheetView>
  </sheetViews>
  <sheetFormatPr defaultRowHeight="14.25"/>
  <cols>
    <col min="1" max="1" width="20" customWidth="1"/>
    <col min="2" max="2" width="25" customWidth="1"/>
    <col min="3" max="3" width="32" customWidth="1"/>
    <col min="4" max="4" width="48" customWidth="1"/>
    <col min="5" max="5" width="13" customWidth="1"/>
    <col min="6" max="6" width="30" customWidth="1"/>
    <col min="7" max="7" width="46" customWidth="1"/>
    <col min="8" max="8" width="36" customWidth="1"/>
  </cols>
  <sheetData>
    <row r="1" spans="1:8" ht="33.950000000000003" customHeight="1">
      <c r="A1" s="106" t="s">
        <v>681</v>
      </c>
      <c r="B1" s="85"/>
      <c r="C1" s="85"/>
      <c r="D1" s="85"/>
      <c r="E1" s="85"/>
      <c r="F1" s="85"/>
      <c r="G1" s="85"/>
      <c r="H1" s="85"/>
    </row>
    <row r="2" spans="1:8" ht="33.950000000000003" customHeight="1">
      <c r="A2" s="85"/>
      <c r="B2" s="85"/>
      <c r="C2" s="85"/>
      <c r="D2" s="85"/>
      <c r="E2" s="85"/>
      <c r="F2" s="85"/>
      <c r="G2" s="85"/>
      <c r="H2" s="85"/>
    </row>
    <row r="4" spans="1:8" ht="54" customHeight="1">
      <c r="A4" s="29" t="s">
        <v>682</v>
      </c>
      <c r="B4" s="29" t="s">
        <v>683</v>
      </c>
      <c r="C4" s="29" t="s">
        <v>77</v>
      </c>
      <c r="D4" s="29" t="s">
        <v>509</v>
      </c>
      <c r="E4" s="29" t="s">
        <v>252</v>
      </c>
      <c r="F4" s="29" t="s">
        <v>510</v>
      </c>
      <c r="G4" s="29" t="s">
        <v>684</v>
      </c>
      <c r="H4" s="29" t="s">
        <v>84</v>
      </c>
    </row>
    <row r="5" spans="1:8" ht="54" customHeight="1">
      <c r="A5" s="27" t="s">
        <v>685</v>
      </c>
      <c r="B5" s="27" t="s">
        <v>686</v>
      </c>
      <c r="C5" s="27" t="s">
        <v>687</v>
      </c>
      <c r="D5" s="27" t="s">
        <v>688</v>
      </c>
      <c r="E5" s="33" t="s">
        <v>16</v>
      </c>
      <c r="F5" s="27" t="s">
        <v>689</v>
      </c>
      <c r="G5" s="27" t="s">
        <v>690</v>
      </c>
      <c r="H5" s="27" t="s">
        <v>691</v>
      </c>
    </row>
    <row r="6" spans="1:8" ht="54" customHeight="1">
      <c r="A6" s="27" t="s">
        <v>685</v>
      </c>
      <c r="B6" s="27" t="s">
        <v>692</v>
      </c>
      <c r="C6" s="27" t="s">
        <v>693</v>
      </c>
      <c r="D6" s="27" t="s">
        <v>694</v>
      </c>
      <c r="E6" s="33" t="s">
        <v>16</v>
      </c>
      <c r="F6" s="27" t="s">
        <v>689</v>
      </c>
      <c r="G6" s="27" t="s">
        <v>695</v>
      </c>
      <c r="H6" s="27" t="s">
        <v>696</v>
      </c>
    </row>
    <row r="7" spans="1:8" ht="54" customHeight="1">
      <c r="A7" s="27" t="s">
        <v>697</v>
      </c>
      <c r="B7" s="27" t="s">
        <v>692</v>
      </c>
      <c r="C7" s="27" t="s">
        <v>698</v>
      </c>
      <c r="D7" s="27" t="s">
        <v>699</v>
      </c>
      <c r="E7" s="33" t="s">
        <v>16</v>
      </c>
      <c r="F7" s="27" t="s">
        <v>700</v>
      </c>
      <c r="G7" s="27" t="s">
        <v>701</v>
      </c>
      <c r="H7" s="27" t="s">
        <v>702</v>
      </c>
    </row>
    <row r="8" spans="1:8" ht="54" customHeight="1">
      <c r="A8" s="27" t="s">
        <v>703</v>
      </c>
      <c r="B8" s="27" t="s">
        <v>545</v>
      </c>
      <c r="C8" s="27" t="s">
        <v>546</v>
      </c>
      <c r="D8" s="27" t="s">
        <v>704</v>
      </c>
      <c r="E8" s="33" t="s">
        <v>16</v>
      </c>
      <c r="F8" s="27" t="s">
        <v>705</v>
      </c>
      <c r="G8" s="27" t="s">
        <v>706</v>
      </c>
      <c r="H8" s="27" t="s">
        <v>707</v>
      </c>
    </row>
    <row r="9" spans="1:8" ht="54" customHeight="1">
      <c r="A9" s="27" t="s">
        <v>703</v>
      </c>
      <c r="B9" s="27" t="s">
        <v>708</v>
      </c>
      <c r="C9" s="27" t="s">
        <v>542</v>
      </c>
      <c r="D9" s="27" t="s">
        <v>709</v>
      </c>
      <c r="E9" s="33" t="s">
        <v>16</v>
      </c>
      <c r="F9" s="27" t="s">
        <v>705</v>
      </c>
      <c r="G9" s="27" t="s">
        <v>710</v>
      </c>
      <c r="H9" s="27" t="s">
        <v>707</v>
      </c>
    </row>
    <row r="10" spans="1:8" ht="54" customHeight="1">
      <c r="A10" s="27" t="s">
        <v>703</v>
      </c>
      <c r="B10" s="27" t="s">
        <v>711</v>
      </c>
      <c r="C10" s="27" t="s">
        <v>549</v>
      </c>
      <c r="D10" s="27" t="s">
        <v>712</v>
      </c>
      <c r="E10" s="33" t="s">
        <v>16</v>
      </c>
      <c r="F10" s="27" t="s">
        <v>705</v>
      </c>
      <c r="G10" s="27" t="s">
        <v>713</v>
      </c>
      <c r="H10" s="27" t="s">
        <v>707</v>
      </c>
    </row>
    <row r="11" spans="1:8" ht="54" customHeight="1">
      <c r="A11" s="27" t="s">
        <v>703</v>
      </c>
      <c r="B11" s="27" t="s">
        <v>714</v>
      </c>
      <c r="C11" s="27" t="s">
        <v>552</v>
      </c>
      <c r="D11" s="27" t="s">
        <v>715</v>
      </c>
      <c r="E11" s="33" t="s">
        <v>16</v>
      </c>
      <c r="F11" s="27" t="s">
        <v>705</v>
      </c>
      <c r="G11" s="27" t="s">
        <v>716</v>
      </c>
      <c r="H11" s="27" t="s">
        <v>707</v>
      </c>
    </row>
    <row r="12" spans="1:8" ht="54" customHeight="1">
      <c r="A12" s="27" t="s">
        <v>717</v>
      </c>
      <c r="B12" s="27" t="s">
        <v>718</v>
      </c>
      <c r="C12" s="27" t="s">
        <v>719</v>
      </c>
      <c r="D12" s="27" t="s">
        <v>720</v>
      </c>
      <c r="E12" s="33" t="s">
        <v>16</v>
      </c>
      <c r="F12" s="27" t="s">
        <v>533</v>
      </c>
      <c r="G12" s="27" t="s">
        <v>721</v>
      </c>
      <c r="H12" s="27" t="s">
        <v>722</v>
      </c>
    </row>
    <row r="13" spans="1:8" ht="54" customHeight="1">
      <c r="A13" s="27" t="s">
        <v>723</v>
      </c>
      <c r="B13" s="27" t="s">
        <v>724</v>
      </c>
      <c r="C13" s="27" t="s">
        <v>725</v>
      </c>
      <c r="D13" s="27" t="s">
        <v>726</v>
      </c>
      <c r="E13" s="33" t="s">
        <v>16</v>
      </c>
      <c r="F13" s="27" t="s">
        <v>727</v>
      </c>
      <c r="G13" s="27" t="s">
        <v>728</v>
      </c>
      <c r="H13" s="27" t="s">
        <v>729</v>
      </c>
    </row>
    <row r="14" spans="1:8" ht="54" customHeight="1">
      <c r="A14" s="27" t="s">
        <v>723</v>
      </c>
      <c r="B14" s="27" t="s">
        <v>730</v>
      </c>
      <c r="C14" s="27" t="s">
        <v>731</v>
      </c>
      <c r="D14" s="27" t="s">
        <v>732</v>
      </c>
      <c r="E14" s="33" t="s">
        <v>16</v>
      </c>
      <c r="F14" s="27" t="s">
        <v>727</v>
      </c>
      <c r="G14" s="27" t="s">
        <v>733</v>
      </c>
      <c r="H14" s="27" t="s">
        <v>729</v>
      </c>
    </row>
    <row r="15" spans="1:8" ht="54" customHeight="1">
      <c r="A15" s="27" t="s">
        <v>723</v>
      </c>
      <c r="B15" s="27" t="s">
        <v>734</v>
      </c>
      <c r="C15" s="27" t="s">
        <v>735</v>
      </c>
      <c r="D15" s="27" t="s">
        <v>736</v>
      </c>
      <c r="E15" s="33" t="s">
        <v>16</v>
      </c>
      <c r="F15" s="27" t="s">
        <v>727</v>
      </c>
      <c r="G15" s="27" t="s">
        <v>737</v>
      </c>
      <c r="H15" s="27" t="s">
        <v>729</v>
      </c>
    </row>
    <row r="16" spans="1:8" ht="54" customHeight="1">
      <c r="A16" s="27" t="s">
        <v>738</v>
      </c>
      <c r="B16" s="27" t="s">
        <v>739</v>
      </c>
      <c r="C16" s="27" t="s">
        <v>740</v>
      </c>
      <c r="D16" s="27" t="s">
        <v>741</v>
      </c>
      <c r="E16" s="33" t="s">
        <v>16</v>
      </c>
      <c r="F16" s="27" t="s">
        <v>742</v>
      </c>
      <c r="G16" s="27" t="s">
        <v>743</v>
      </c>
      <c r="H16" s="27" t="s">
        <v>744</v>
      </c>
    </row>
    <row r="19" spans="1:8">
      <c r="A19" s="107" t="s">
        <v>745</v>
      </c>
      <c r="B19" s="87"/>
      <c r="C19" s="87"/>
      <c r="D19" s="87"/>
      <c r="E19" s="87"/>
      <c r="F19" s="87"/>
      <c r="G19" s="87"/>
      <c r="H19" s="88"/>
    </row>
    <row r="20" spans="1:8">
      <c r="A20" s="89"/>
      <c r="B20" s="85"/>
      <c r="C20" s="85"/>
      <c r="D20" s="85"/>
      <c r="E20" s="85"/>
      <c r="F20" s="85"/>
      <c r="G20" s="85"/>
      <c r="H20" s="90"/>
    </row>
    <row r="21" spans="1:8">
      <c r="A21" s="89"/>
      <c r="B21" s="85"/>
      <c r="C21" s="85"/>
      <c r="D21" s="85"/>
      <c r="E21" s="85"/>
      <c r="F21" s="85"/>
      <c r="G21" s="85"/>
      <c r="H21" s="90"/>
    </row>
    <row r="22" spans="1:8">
      <c r="A22" s="91"/>
      <c r="B22" s="92"/>
      <c r="C22" s="92"/>
      <c r="D22" s="92"/>
      <c r="E22" s="92"/>
      <c r="F22" s="92"/>
      <c r="G22" s="92"/>
      <c r="H22" s="93"/>
    </row>
  </sheetData>
  <mergeCells count="2">
    <mergeCell ref="A1:H2"/>
    <mergeCell ref="A19:H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
  <sheetViews>
    <sheetView showGridLines="0" workbookViewId="0">
      <selection sqref="A1:M2"/>
    </sheetView>
  </sheetViews>
  <sheetFormatPr defaultRowHeight="14.25"/>
  <cols>
    <col min="1" max="1" width="9" customWidth="1"/>
    <col min="2" max="2" width="21.875" customWidth="1"/>
    <col min="3" max="3" width="7.75" customWidth="1"/>
    <col min="4" max="4" width="13.75" customWidth="1"/>
    <col min="5" max="5" width="18.75" customWidth="1"/>
    <col min="6" max="6" width="29.375" customWidth="1"/>
    <col min="7" max="7" width="31.25" customWidth="1"/>
    <col min="8" max="8" width="36.25" customWidth="1"/>
    <col min="9" max="9" width="23.75" customWidth="1"/>
    <col min="10" max="10" width="26.25" customWidth="1"/>
    <col min="11" max="11" width="25.625" customWidth="1"/>
    <col min="12" max="12" width="23.75" customWidth="1"/>
    <col min="13" max="13" width="26.25" customWidth="1"/>
  </cols>
  <sheetData>
    <row r="1" spans="1:13" ht="27.95" customHeight="1">
      <c r="A1" s="112" t="s">
        <v>746</v>
      </c>
      <c r="B1" s="85"/>
      <c r="C1" s="85"/>
      <c r="D1" s="85"/>
      <c r="E1" s="85"/>
      <c r="F1" s="85"/>
      <c r="G1" s="85"/>
      <c r="H1" s="85"/>
      <c r="I1" s="85"/>
      <c r="J1" s="85"/>
      <c r="K1" s="85"/>
      <c r="L1" s="85"/>
      <c r="M1" s="85"/>
    </row>
    <row r="2" spans="1:13" ht="27.95" customHeight="1">
      <c r="A2" s="85"/>
      <c r="B2" s="85"/>
      <c r="C2" s="85"/>
      <c r="D2" s="85"/>
      <c r="E2" s="85"/>
      <c r="F2" s="85"/>
      <c r="G2" s="85"/>
      <c r="H2" s="85"/>
      <c r="I2" s="85"/>
      <c r="J2" s="85"/>
      <c r="K2" s="85"/>
      <c r="L2" s="85"/>
      <c r="M2" s="85"/>
    </row>
    <row r="3" spans="1:13" ht="33.950000000000003" customHeight="1">
      <c r="A3" s="113" t="s">
        <v>747</v>
      </c>
      <c r="B3" s="85"/>
      <c r="C3" s="85"/>
      <c r="D3" s="85"/>
      <c r="E3" s="85"/>
      <c r="F3" s="85"/>
      <c r="G3" s="85"/>
      <c r="H3" s="85"/>
      <c r="I3" s="85"/>
      <c r="J3" s="85"/>
      <c r="K3" s="85"/>
      <c r="L3" s="85"/>
      <c r="M3" s="85"/>
    </row>
    <row r="4" spans="1:13">
      <c r="A4" s="35"/>
      <c r="B4" s="35"/>
      <c r="C4" s="35"/>
      <c r="D4" s="35"/>
      <c r="E4" s="35"/>
      <c r="F4" s="35"/>
      <c r="G4" s="35"/>
      <c r="H4" s="35"/>
      <c r="I4" s="35"/>
      <c r="J4" s="35"/>
      <c r="K4" s="35"/>
      <c r="L4" s="35"/>
      <c r="M4" s="35"/>
    </row>
    <row r="5" spans="1:13" ht="39.950000000000003" customHeight="1">
      <c r="A5" s="39" t="s">
        <v>72</v>
      </c>
      <c r="B5" s="39" t="s">
        <v>620</v>
      </c>
      <c r="C5" s="39" t="s">
        <v>26</v>
      </c>
      <c r="D5" s="39" t="s">
        <v>73</v>
      </c>
      <c r="E5" s="39" t="s">
        <v>622</v>
      </c>
      <c r="F5" s="39" t="s">
        <v>624</v>
      </c>
      <c r="G5" s="39" t="s">
        <v>77</v>
      </c>
      <c r="H5" s="39" t="s">
        <v>509</v>
      </c>
      <c r="I5" s="39" t="s">
        <v>625</v>
      </c>
      <c r="J5" s="39" t="s">
        <v>626</v>
      </c>
      <c r="K5" s="39" t="s">
        <v>627</v>
      </c>
      <c r="L5" s="39" t="s">
        <v>748</v>
      </c>
      <c r="M5" s="39" t="s">
        <v>84</v>
      </c>
    </row>
    <row r="6" spans="1:13" ht="87.95" customHeight="1">
      <c r="A6" s="40" t="s">
        <v>749</v>
      </c>
      <c r="B6" s="40" t="s">
        <v>750</v>
      </c>
      <c r="C6" s="40" t="s">
        <v>34</v>
      </c>
      <c r="D6" s="44" t="s">
        <v>16</v>
      </c>
      <c r="E6" s="40" t="s">
        <v>751</v>
      </c>
      <c r="F6" s="40" t="s">
        <v>752</v>
      </c>
      <c r="G6" s="40" t="s">
        <v>753</v>
      </c>
      <c r="H6" s="40" t="s">
        <v>754</v>
      </c>
      <c r="I6" s="40" t="s">
        <v>755</v>
      </c>
      <c r="J6" s="40" t="s">
        <v>756</v>
      </c>
      <c r="K6" s="40" t="s">
        <v>97</v>
      </c>
      <c r="L6" s="40" t="s">
        <v>97</v>
      </c>
      <c r="M6" s="40" t="s">
        <v>757</v>
      </c>
    </row>
    <row r="7" spans="1:13" ht="87.95" customHeight="1">
      <c r="A7" s="41" t="s">
        <v>758</v>
      </c>
      <c r="B7" s="41" t="s">
        <v>759</v>
      </c>
      <c r="C7" s="41" t="s">
        <v>34</v>
      </c>
      <c r="D7" s="45" t="s">
        <v>16</v>
      </c>
      <c r="E7" s="41" t="s">
        <v>751</v>
      </c>
      <c r="F7" s="41" t="s">
        <v>760</v>
      </c>
      <c r="G7" s="41" t="s">
        <v>761</v>
      </c>
      <c r="H7" s="41" t="s">
        <v>762</v>
      </c>
      <c r="I7" s="41" t="s">
        <v>763</v>
      </c>
      <c r="J7" s="41" t="s">
        <v>764</v>
      </c>
      <c r="K7" s="41" t="s">
        <v>97</v>
      </c>
      <c r="L7" s="41" t="s">
        <v>97</v>
      </c>
      <c r="M7" s="41" t="s">
        <v>765</v>
      </c>
    </row>
    <row r="8" spans="1:13" ht="87.95" customHeight="1">
      <c r="A8" s="42" t="s">
        <v>766</v>
      </c>
      <c r="B8" s="42" t="s">
        <v>767</v>
      </c>
      <c r="C8" s="42" t="s">
        <v>34</v>
      </c>
      <c r="D8" s="45" t="s">
        <v>16</v>
      </c>
      <c r="E8" s="42" t="s">
        <v>751</v>
      </c>
      <c r="F8" s="42" t="s">
        <v>768</v>
      </c>
      <c r="G8" s="42" t="s">
        <v>769</v>
      </c>
      <c r="H8" s="42" t="s">
        <v>770</v>
      </c>
      <c r="I8" s="42" t="s">
        <v>771</v>
      </c>
      <c r="J8" s="42" t="s">
        <v>772</v>
      </c>
      <c r="K8" s="42" t="s">
        <v>97</v>
      </c>
      <c r="L8" s="42" t="s">
        <v>773</v>
      </c>
      <c r="M8" s="42" t="s">
        <v>774</v>
      </c>
    </row>
    <row r="9" spans="1:13" ht="87.95" customHeight="1">
      <c r="A9" s="41" t="s">
        <v>775</v>
      </c>
      <c r="B9" s="41" t="s">
        <v>776</v>
      </c>
      <c r="C9" s="41" t="s">
        <v>34</v>
      </c>
      <c r="D9" s="45" t="s">
        <v>16</v>
      </c>
      <c r="E9" s="41" t="s">
        <v>751</v>
      </c>
      <c r="F9" s="41" t="s">
        <v>777</v>
      </c>
      <c r="G9" s="41" t="s">
        <v>778</v>
      </c>
      <c r="H9" s="41" t="s">
        <v>779</v>
      </c>
      <c r="I9" s="41" t="s">
        <v>780</v>
      </c>
      <c r="J9" s="41" t="s">
        <v>781</v>
      </c>
      <c r="K9" s="41" t="s">
        <v>97</v>
      </c>
      <c r="L9" s="41" t="s">
        <v>97</v>
      </c>
      <c r="M9" s="41" t="s">
        <v>782</v>
      </c>
    </row>
    <row r="10" spans="1:13" ht="87.95" customHeight="1">
      <c r="A10" s="43" t="s">
        <v>783</v>
      </c>
      <c r="B10" s="43" t="s">
        <v>784</v>
      </c>
      <c r="C10" s="43" t="s">
        <v>34</v>
      </c>
      <c r="D10" s="46" t="s">
        <v>596</v>
      </c>
      <c r="E10" s="43" t="s">
        <v>751</v>
      </c>
      <c r="F10" s="43" t="s">
        <v>785</v>
      </c>
      <c r="G10" s="43" t="s">
        <v>786</v>
      </c>
      <c r="H10" s="43" t="s">
        <v>787</v>
      </c>
      <c r="I10" s="43" t="s">
        <v>788</v>
      </c>
      <c r="J10" s="43" t="s">
        <v>789</v>
      </c>
      <c r="K10" s="43" t="s">
        <v>790</v>
      </c>
      <c r="L10" s="43" t="s">
        <v>791</v>
      </c>
      <c r="M10" s="43" t="s">
        <v>792</v>
      </c>
    </row>
  </sheetData>
  <mergeCells count="2">
    <mergeCell ref="A1:M2"/>
    <mergeCell ref="A3: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5"/>
  <sheetViews>
    <sheetView showGridLines="0" workbookViewId="0">
      <selection sqref="A1:H2"/>
    </sheetView>
  </sheetViews>
  <sheetFormatPr defaultRowHeight="14.25"/>
  <cols>
    <col min="1" max="1" width="11.25" customWidth="1"/>
    <col min="2" max="2" width="18.75" customWidth="1"/>
    <col min="3" max="3" width="31.25" customWidth="1"/>
    <col min="4" max="4" width="11.875" customWidth="1"/>
    <col min="5" max="5" width="13.75" customWidth="1"/>
    <col min="6" max="6" width="28.75" customWidth="1"/>
    <col min="7" max="7" width="17.5" customWidth="1"/>
    <col min="8" max="8" width="15" customWidth="1"/>
  </cols>
  <sheetData>
    <row r="1" spans="1:8" ht="27.95" customHeight="1">
      <c r="A1" s="112" t="s">
        <v>793</v>
      </c>
      <c r="B1" s="85"/>
      <c r="C1" s="85"/>
      <c r="D1" s="85"/>
      <c r="E1" s="85"/>
      <c r="F1" s="85"/>
      <c r="G1" s="85"/>
      <c r="H1" s="85"/>
    </row>
    <row r="2" spans="1:8" ht="27.95" customHeight="1">
      <c r="A2" s="85"/>
      <c r="B2" s="85"/>
      <c r="C2" s="85"/>
      <c r="D2" s="85"/>
      <c r="E2" s="85"/>
      <c r="F2" s="85"/>
      <c r="G2" s="85"/>
      <c r="H2" s="85"/>
    </row>
    <row r="3" spans="1:8" ht="33.950000000000003" customHeight="1">
      <c r="A3" s="37" t="s">
        <v>1</v>
      </c>
      <c r="B3" s="37" t="s">
        <v>2</v>
      </c>
      <c r="C3" s="37"/>
      <c r="D3" s="37" t="s">
        <v>794</v>
      </c>
      <c r="E3" s="37" t="s">
        <v>795</v>
      </c>
      <c r="F3" s="37"/>
      <c r="G3" s="37" t="s">
        <v>796</v>
      </c>
      <c r="H3" s="37" t="s">
        <v>797</v>
      </c>
    </row>
    <row r="4" spans="1:8" ht="33.950000000000003" customHeight="1">
      <c r="A4" s="35" t="s">
        <v>5</v>
      </c>
      <c r="B4" s="35" t="s">
        <v>798</v>
      </c>
      <c r="C4" s="35"/>
      <c r="D4" s="35" t="s">
        <v>799</v>
      </c>
      <c r="E4" s="35" t="s">
        <v>800</v>
      </c>
      <c r="F4" s="35"/>
      <c r="G4" s="35" t="s">
        <v>801</v>
      </c>
      <c r="H4" s="35" t="s">
        <v>802</v>
      </c>
    </row>
    <row r="5" spans="1:8" ht="33.950000000000003" customHeight="1">
      <c r="A5" s="35" t="s">
        <v>322</v>
      </c>
      <c r="B5" s="35" t="s">
        <v>389</v>
      </c>
      <c r="C5" s="35"/>
      <c r="D5" s="35" t="s">
        <v>803</v>
      </c>
      <c r="E5" s="35" t="s">
        <v>804</v>
      </c>
      <c r="F5" s="35"/>
      <c r="G5" s="35" t="s">
        <v>805</v>
      </c>
      <c r="H5" s="35" t="s">
        <v>98</v>
      </c>
    </row>
    <row r="6" spans="1:8" ht="33.950000000000003" customHeight="1">
      <c r="A6" s="35" t="s">
        <v>806</v>
      </c>
      <c r="B6" s="35" t="s">
        <v>807</v>
      </c>
      <c r="C6" s="35"/>
      <c r="D6" s="35" t="s">
        <v>9</v>
      </c>
      <c r="E6" s="35" t="s">
        <v>808</v>
      </c>
      <c r="F6" s="35"/>
      <c r="G6" s="35" t="s">
        <v>809</v>
      </c>
      <c r="H6" s="35" t="s">
        <v>810</v>
      </c>
    </row>
    <row r="7" spans="1:8">
      <c r="A7" s="35"/>
      <c r="B7" s="35"/>
      <c r="C7" s="35"/>
      <c r="D7" s="35"/>
      <c r="E7" s="35"/>
      <c r="F7" s="35"/>
      <c r="G7" s="35"/>
      <c r="H7" s="35"/>
    </row>
    <row r="8" spans="1:8">
      <c r="A8" s="38" t="s">
        <v>594</v>
      </c>
      <c r="B8" s="38" t="s">
        <v>595</v>
      </c>
      <c r="C8" s="35"/>
      <c r="D8" s="114" t="s">
        <v>811</v>
      </c>
      <c r="E8" s="115"/>
      <c r="F8" s="115"/>
      <c r="G8" s="115"/>
      <c r="H8" s="116"/>
    </row>
    <row r="9" spans="1:8">
      <c r="A9" s="47" t="s">
        <v>16</v>
      </c>
      <c r="B9" s="47">
        <f>COUNTIF('Multi Venue Results'!$D$6:$D$10,"PASS")</f>
        <v>4</v>
      </c>
      <c r="C9" s="35"/>
      <c r="D9" s="117"/>
      <c r="E9" s="85"/>
      <c r="F9" s="85"/>
      <c r="G9" s="85"/>
      <c r="H9" s="118"/>
    </row>
    <row r="10" spans="1:8">
      <c r="A10" s="48" t="s">
        <v>19</v>
      </c>
      <c r="B10" s="48">
        <f>COUNTIF('Multi Venue Results'!$D$6:$D$10,"FAIL")</f>
        <v>0</v>
      </c>
      <c r="C10" s="35"/>
      <c r="D10" s="117"/>
      <c r="E10" s="85"/>
      <c r="F10" s="85"/>
      <c r="G10" s="85"/>
      <c r="H10" s="118"/>
    </row>
    <row r="11" spans="1:8">
      <c r="A11" s="36" t="s">
        <v>596</v>
      </c>
      <c r="B11" s="36">
        <f>COUNTIF('Multi Venue Results'!$D$6:$D$10,"BLOCKED / PARTIAL")</f>
        <v>1</v>
      </c>
      <c r="C11" s="35"/>
      <c r="D11" s="117"/>
      <c r="E11" s="85"/>
      <c r="F11" s="85"/>
      <c r="G11" s="85"/>
      <c r="H11" s="118"/>
    </row>
    <row r="12" spans="1:8">
      <c r="A12" s="35" t="s">
        <v>23</v>
      </c>
      <c r="B12" s="35">
        <f>COUNTA('Multi Venue Results'!$A$6:$A$10)</f>
        <v>5</v>
      </c>
      <c r="C12" s="35"/>
      <c r="D12" s="119"/>
      <c r="E12" s="120"/>
      <c r="F12" s="120"/>
      <c r="G12" s="120"/>
      <c r="H12" s="121"/>
    </row>
    <row r="13" spans="1:8">
      <c r="A13" s="35"/>
      <c r="B13" s="35"/>
      <c r="C13" s="35"/>
      <c r="D13" s="35"/>
      <c r="E13" s="35"/>
      <c r="F13" s="35"/>
      <c r="G13" s="35"/>
      <c r="H13" s="35"/>
    </row>
    <row r="14" spans="1:8">
      <c r="A14" s="35"/>
      <c r="B14" s="35"/>
      <c r="C14" s="35"/>
      <c r="D14" s="35"/>
      <c r="E14" s="35"/>
      <c r="F14" s="35"/>
      <c r="G14" s="35"/>
      <c r="H14" s="35"/>
    </row>
    <row r="15" spans="1:8" ht="36" customHeight="1">
      <c r="A15" s="39" t="s">
        <v>26</v>
      </c>
      <c r="B15" s="39" t="s">
        <v>27</v>
      </c>
      <c r="C15" s="39" t="s">
        <v>349</v>
      </c>
      <c r="D15" s="39" t="s">
        <v>30</v>
      </c>
      <c r="E15" s="39" t="s">
        <v>31</v>
      </c>
      <c r="F15" s="39" t="s">
        <v>32</v>
      </c>
      <c r="G15" s="39" t="s">
        <v>33</v>
      </c>
      <c r="H15" s="39" t="s">
        <v>812</v>
      </c>
    </row>
    <row r="16" spans="1:8" ht="56.1" customHeight="1">
      <c r="A16" s="40" t="s">
        <v>34</v>
      </c>
      <c r="B16" s="40" t="s">
        <v>813</v>
      </c>
      <c r="C16" s="40" t="s">
        <v>814</v>
      </c>
      <c r="D16" s="40" t="s">
        <v>16</v>
      </c>
      <c r="E16" s="40" t="s">
        <v>365</v>
      </c>
      <c r="F16" s="40" t="s">
        <v>815</v>
      </c>
      <c r="G16" s="40" t="s">
        <v>40</v>
      </c>
      <c r="H16" s="40" t="s">
        <v>749</v>
      </c>
    </row>
    <row r="17" spans="1:8" ht="56.1" customHeight="1">
      <c r="A17" s="42" t="s">
        <v>34</v>
      </c>
      <c r="B17" s="42" t="s">
        <v>816</v>
      </c>
      <c r="C17" s="42" t="s">
        <v>817</v>
      </c>
      <c r="D17" s="42" t="s">
        <v>16</v>
      </c>
      <c r="E17" s="42" t="s">
        <v>365</v>
      </c>
      <c r="F17" s="42" t="s">
        <v>649</v>
      </c>
      <c r="G17" s="42" t="s">
        <v>40</v>
      </c>
      <c r="H17" s="42" t="s">
        <v>758</v>
      </c>
    </row>
    <row r="18" spans="1:8" ht="56.1" customHeight="1">
      <c r="A18" s="42" t="s">
        <v>34</v>
      </c>
      <c r="B18" s="42" t="s">
        <v>818</v>
      </c>
      <c r="C18" s="42" t="s">
        <v>819</v>
      </c>
      <c r="D18" s="42" t="s">
        <v>16</v>
      </c>
      <c r="E18" s="42" t="s">
        <v>365</v>
      </c>
      <c r="F18" s="42" t="s">
        <v>820</v>
      </c>
      <c r="G18" s="42" t="s">
        <v>821</v>
      </c>
      <c r="H18" s="42" t="s">
        <v>766</v>
      </c>
    </row>
    <row r="19" spans="1:8" ht="56.1" customHeight="1">
      <c r="A19" s="42" t="s">
        <v>34</v>
      </c>
      <c r="B19" s="42" t="s">
        <v>822</v>
      </c>
      <c r="C19" s="42" t="s">
        <v>823</v>
      </c>
      <c r="D19" s="42" t="s">
        <v>16</v>
      </c>
      <c r="E19" s="42" t="s">
        <v>365</v>
      </c>
      <c r="F19" s="42" t="s">
        <v>649</v>
      </c>
      <c r="G19" s="42" t="s">
        <v>40</v>
      </c>
      <c r="H19" s="42" t="s">
        <v>775</v>
      </c>
    </row>
    <row r="20" spans="1:8" ht="69.95" customHeight="1">
      <c r="A20" s="49" t="s">
        <v>34</v>
      </c>
      <c r="B20" s="49" t="s">
        <v>824</v>
      </c>
      <c r="C20" s="49" t="s">
        <v>825</v>
      </c>
      <c r="D20" s="49" t="s">
        <v>826</v>
      </c>
      <c r="E20" s="49" t="s">
        <v>614</v>
      </c>
      <c r="F20" s="49" t="s">
        <v>827</v>
      </c>
      <c r="G20" s="49" t="s">
        <v>828</v>
      </c>
      <c r="H20" s="49" t="s">
        <v>783</v>
      </c>
    </row>
    <row r="21" spans="1:8">
      <c r="A21" s="35"/>
      <c r="B21" s="35"/>
      <c r="C21" s="35"/>
      <c r="D21" s="35"/>
      <c r="E21" s="35"/>
      <c r="F21" s="35"/>
      <c r="G21" s="35"/>
      <c r="H21" s="35"/>
    </row>
    <row r="22" spans="1:8">
      <c r="A22" s="35"/>
      <c r="B22" s="35"/>
      <c r="C22" s="35"/>
      <c r="D22" s="35"/>
      <c r="E22" s="35"/>
      <c r="F22" s="35"/>
      <c r="G22" s="35"/>
      <c r="H22" s="35"/>
    </row>
    <row r="23" spans="1:8">
      <c r="A23" s="122" t="s">
        <v>829</v>
      </c>
      <c r="B23" s="85"/>
      <c r="C23" s="85"/>
      <c r="D23" s="85"/>
      <c r="E23" s="85"/>
      <c r="F23" s="85"/>
      <c r="G23" s="85"/>
      <c r="H23" s="85"/>
    </row>
    <row r="24" spans="1:8">
      <c r="A24" s="85"/>
      <c r="B24" s="85"/>
      <c r="C24" s="85"/>
      <c r="D24" s="85"/>
      <c r="E24" s="85"/>
      <c r="F24" s="85"/>
      <c r="G24" s="85"/>
      <c r="H24" s="85"/>
    </row>
    <row r="25" spans="1:8">
      <c r="A25" s="85"/>
      <c r="B25" s="85"/>
      <c r="C25" s="85"/>
      <c r="D25" s="85"/>
      <c r="E25" s="85"/>
      <c r="F25" s="85"/>
      <c r="G25" s="85"/>
      <c r="H25" s="85"/>
    </row>
  </sheetData>
  <mergeCells count="3">
    <mergeCell ref="A1:H2"/>
    <mergeCell ref="D8:H12"/>
    <mergeCell ref="A23:H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showGridLines="0" workbookViewId="0">
      <selection sqref="A1:H2"/>
    </sheetView>
  </sheetViews>
  <sheetFormatPr defaultRowHeight="14.25"/>
  <cols>
    <col min="1" max="1" width="16.25" customWidth="1"/>
    <col min="2" max="2" width="12.5" customWidth="1"/>
    <col min="3" max="3" width="18.75" customWidth="1"/>
    <col min="4" max="4" width="28.75" customWidth="1"/>
    <col min="5" max="5" width="37.5" customWidth="1"/>
    <col min="6" max="6" width="10" customWidth="1"/>
    <col min="7" max="7" width="16.25" customWidth="1"/>
    <col min="8" max="8" width="30" customWidth="1"/>
  </cols>
  <sheetData>
    <row r="1" spans="1:8">
      <c r="A1" s="112" t="s">
        <v>830</v>
      </c>
      <c r="B1" s="85"/>
      <c r="C1" s="85"/>
      <c r="D1" s="85"/>
      <c r="E1" s="85"/>
      <c r="F1" s="85"/>
      <c r="G1" s="85"/>
      <c r="H1" s="85"/>
    </row>
    <row r="2" spans="1:8">
      <c r="A2" s="85"/>
      <c r="B2" s="85"/>
      <c r="C2" s="85"/>
      <c r="D2" s="85"/>
      <c r="E2" s="85"/>
      <c r="F2" s="85"/>
      <c r="G2" s="85"/>
      <c r="H2" s="85"/>
    </row>
    <row r="3" spans="1:8">
      <c r="A3" s="113" t="s">
        <v>831</v>
      </c>
      <c r="B3" s="85"/>
      <c r="C3" s="85"/>
      <c r="D3" s="85"/>
      <c r="E3" s="85"/>
      <c r="F3" s="85"/>
      <c r="G3" s="85"/>
      <c r="H3" s="85"/>
    </row>
    <row r="4" spans="1:8" ht="36" customHeight="1">
      <c r="A4" s="39" t="s">
        <v>682</v>
      </c>
      <c r="B4" s="39" t="s">
        <v>524</v>
      </c>
      <c r="C4" s="39" t="s">
        <v>683</v>
      </c>
      <c r="D4" s="39" t="s">
        <v>77</v>
      </c>
      <c r="E4" s="39" t="s">
        <v>509</v>
      </c>
      <c r="F4" s="39" t="s">
        <v>252</v>
      </c>
      <c r="G4" s="39" t="s">
        <v>510</v>
      </c>
      <c r="H4" s="39" t="s">
        <v>84</v>
      </c>
    </row>
    <row r="5" spans="1:8" ht="54" customHeight="1">
      <c r="A5" s="40" t="s">
        <v>832</v>
      </c>
      <c r="B5" s="40" t="s">
        <v>803</v>
      </c>
      <c r="C5" s="40" t="s">
        <v>833</v>
      </c>
      <c r="D5" s="40" t="s">
        <v>834</v>
      </c>
      <c r="E5" s="40" t="s">
        <v>835</v>
      </c>
      <c r="F5" s="44" t="s">
        <v>16</v>
      </c>
      <c r="G5" s="40" t="s">
        <v>466</v>
      </c>
      <c r="H5" s="40" t="s">
        <v>836</v>
      </c>
    </row>
    <row r="6" spans="1:8" ht="54" customHeight="1">
      <c r="A6" s="41" t="s">
        <v>837</v>
      </c>
      <c r="B6" s="41" t="s">
        <v>803</v>
      </c>
      <c r="C6" s="41" t="s">
        <v>838</v>
      </c>
      <c r="D6" s="41" t="s">
        <v>839</v>
      </c>
      <c r="E6" s="41" t="s">
        <v>840</v>
      </c>
      <c r="F6" s="45" t="s">
        <v>16</v>
      </c>
      <c r="G6" s="41" t="s">
        <v>841</v>
      </c>
      <c r="H6" s="41" t="s">
        <v>842</v>
      </c>
    </row>
    <row r="7" spans="1:8" ht="54" customHeight="1">
      <c r="A7" s="42" t="s">
        <v>843</v>
      </c>
      <c r="B7" s="42" t="s">
        <v>803</v>
      </c>
      <c r="C7" s="42" t="s">
        <v>844</v>
      </c>
      <c r="D7" s="42" t="s">
        <v>845</v>
      </c>
      <c r="E7" s="42" t="s">
        <v>846</v>
      </c>
      <c r="F7" s="45" t="s">
        <v>16</v>
      </c>
      <c r="G7" s="42" t="s">
        <v>847</v>
      </c>
      <c r="H7" s="42" t="s">
        <v>848</v>
      </c>
    </row>
    <row r="8" spans="1:8" ht="54" customHeight="1">
      <c r="A8" s="41" t="s">
        <v>843</v>
      </c>
      <c r="B8" s="41" t="s">
        <v>803</v>
      </c>
      <c r="C8" s="41" t="s">
        <v>849</v>
      </c>
      <c r="D8" s="41" t="s">
        <v>850</v>
      </c>
      <c r="E8" s="41" t="s">
        <v>850</v>
      </c>
      <c r="F8" s="45" t="s">
        <v>16</v>
      </c>
      <c r="G8" s="41" t="s">
        <v>847</v>
      </c>
      <c r="H8" s="41" t="s">
        <v>851</v>
      </c>
    </row>
    <row r="9" spans="1:8" ht="54" customHeight="1">
      <c r="A9" s="42" t="s">
        <v>843</v>
      </c>
      <c r="B9" s="42" t="s">
        <v>803</v>
      </c>
      <c r="C9" s="42" t="s">
        <v>852</v>
      </c>
      <c r="D9" s="42" t="s">
        <v>853</v>
      </c>
      <c r="E9" s="42" t="s">
        <v>853</v>
      </c>
      <c r="F9" s="45" t="s">
        <v>16</v>
      </c>
      <c r="G9" s="42" t="s">
        <v>854</v>
      </c>
      <c r="H9" s="42" t="s">
        <v>855</v>
      </c>
    </row>
    <row r="10" spans="1:8" ht="54" customHeight="1">
      <c r="A10" s="41" t="s">
        <v>856</v>
      </c>
      <c r="B10" s="41" t="s">
        <v>799</v>
      </c>
      <c r="C10" s="41" t="s">
        <v>844</v>
      </c>
      <c r="D10" s="41" t="s">
        <v>857</v>
      </c>
      <c r="E10" s="41" t="s">
        <v>858</v>
      </c>
      <c r="F10" s="45" t="s">
        <v>16</v>
      </c>
      <c r="G10" s="41" t="s">
        <v>847</v>
      </c>
      <c r="H10" s="41" t="s">
        <v>859</v>
      </c>
    </row>
    <row r="11" spans="1:8" ht="54" customHeight="1">
      <c r="A11" s="42" t="s">
        <v>856</v>
      </c>
      <c r="B11" s="42" t="s">
        <v>799</v>
      </c>
      <c r="C11" s="42" t="s">
        <v>849</v>
      </c>
      <c r="D11" s="42" t="s">
        <v>860</v>
      </c>
      <c r="E11" s="42" t="s">
        <v>860</v>
      </c>
      <c r="F11" s="45" t="s">
        <v>16</v>
      </c>
      <c r="G11" s="42" t="s">
        <v>847</v>
      </c>
      <c r="H11" s="42" t="s">
        <v>861</v>
      </c>
    </row>
    <row r="12" spans="1:8" ht="54" customHeight="1">
      <c r="A12" s="41" t="s">
        <v>856</v>
      </c>
      <c r="B12" s="41" t="s">
        <v>799</v>
      </c>
      <c r="C12" s="41" t="s">
        <v>852</v>
      </c>
      <c r="D12" s="41" t="s">
        <v>862</v>
      </c>
      <c r="E12" s="41" t="s">
        <v>862</v>
      </c>
      <c r="F12" s="45" t="s">
        <v>16</v>
      </c>
      <c r="G12" s="41" t="s">
        <v>854</v>
      </c>
      <c r="H12" s="41" t="s">
        <v>863</v>
      </c>
    </row>
    <row r="13" spans="1:8" ht="54" customHeight="1">
      <c r="A13" s="42" t="s">
        <v>856</v>
      </c>
      <c r="B13" s="42" t="s">
        <v>803</v>
      </c>
      <c r="C13" s="42" t="s">
        <v>864</v>
      </c>
      <c r="D13" s="42" t="s">
        <v>865</v>
      </c>
      <c r="E13" s="42" t="s">
        <v>866</v>
      </c>
      <c r="F13" s="45" t="s">
        <v>16</v>
      </c>
      <c r="G13" s="42" t="s">
        <v>847</v>
      </c>
      <c r="H13" s="42" t="s">
        <v>867</v>
      </c>
    </row>
    <row r="14" spans="1:8" ht="54" customHeight="1">
      <c r="A14" s="41" t="s">
        <v>868</v>
      </c>
      <c r="B14" s="41" t="s">
        <v>803</v>
      </c>
      <c r="C14" s="41" t="s">
        <v>869</v>
      </c>
      <c r="D14" s="41" t="s">
        <v>870</v>
      </c>
      <c r="E14" s="41" t="s">
        <v>871</v>
      </c>
      <c r="F14" s="45" t="s">
        <v>16</v>
      </c>
      <c r="G14" s="41" t="s">
        <v>466</v>
      </c>
      <c r="H14" s="41" t="s">
        <v>872</v>
      </c>
    </row>
    <row r="15" spans="1:8" ht="54" customHeight="1">
      <c r="A15" s="42" t="s">
        <v>873</v>
      </c>
      <c r="B15" s="42" t="s">
        <v>803</v>
      </c>
      <c r="C15" s="42" t="s">
        <v>874</v>
      </c>
      <c r="D15" s="42" t="s">
        <v>875</v>
      </c>
      <c r="E15" s="42" t="s">
        <v>876</v>
      </c>
      <c r="F15" s="45" t="s">
        <v>16</v>
      </c>
      <c r="G15" s="42" t="s">
        <v>877</v>
      </c>
      <c r="H15" s="42" t="s">
        <v>878</v>
      </c>
    </row>
    <row r="16" spans="1:8" ht="54" customHeight="1">
      <c r="A16" s="43" t="s">
        <v>809</v>
      </c>
      <c r="B16" s="43" t="s">
        <v>803</v>
      </c>
      <c r="C16" s="43" t="s">
        <v>879</v>
      </c>
      <c r="D16" s="43" t="s">
        <v>880</v>
      </c>
      <c r="E16" s="43" t="s">
        <v>881</v>
      </c>
      <c r="F16" s="46" t="s">
        <v>882</v>
      </c>
      <c r="G16" s="43" t="s">
        <v>883</v>
      </c>
      <c r="H16" s="43" t="s">
        <v>884</v>
      </c>
    </row>
  </sheetData>
  <mergeCells count="2">
    <mergeCell ref="A1:H2"/>
    <mergeCell ref="A3:H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7"/>
  <sheetViews>
    <sheetView showGridLines="0" workbookViewId="0">
      <selection sqref="A1:H2"/>
    </sheetView>
  </sheetViews>
  <sheetFormatPr defaultRowHeight="14.25"/>
  <cols>
    <col min="1" max="1" width="12" customWidth="1"/>
    <col min="2" max="2" width="16" customWidth="1"/>
    <col min="3" max="3" width="34" customWidth="1"/>
    <col min="4" max="4" width="36" customWidth="1"/>
    <col min="5" max="5" width="22" customWidth="1"/>
    <col min="6" max="6" width="15" customWidth="1"/>
    <col min="7" max="7" width="32" customWidth="1"/>
    <col min="8" max="8" width="30" customWidth="1"/>
  </cols>
  <sheetData>
    <row r="1" spans="1:8" ht="30" customHeight="1">
      <c r="A1" s="123" t="s">
        <v>885</v>
      </c>
      <c r="B1" s="85"/>
      <c r="C1" s="85"/>
      <c r="D1" s="85"/>
      <c r="E1" s="85"/>
      <c r="F1" s="85"/>
      <c r="G1" s="85"/>
      <c r="H1" s="85"/>
    </row>
    <row r="2" spans="1:8" ht="30" customHeight="1">
      <c r="A2" s="85"/>
      <c r="B2" s="85"/>
      <c r="C2" s="85"/>
      <c r="D2" s="85"/>
      <c r="E2" s="85"/>
      <c r="F2" s="85"/>
      <c r="G2" s="85"/>
      <c r="H2" s="85"/>
    </row>
    <row r="3" spans="1:8" ht="44.1" customHeight="1">
      <c r="A3" s="124" t="s">
        <v>886</v>
      </c>
      <c r="B3" s="85"/>
      <c r="C3" s="85"/>
      <c r="D3" s="85"/>
      <c r="E3" s="85"/>
      <c r="F3" s="85"/>
      <c r="G3" s="85"/>
      <c r="H3" s="85"/>
    </row>
    <row r="5" spans="1:8" ht="33.950000000000003" customHeight="1">
      <c r="A5" s="50" t="s">
        <v>812</v>
      </c>
      <c r="B5" s="50" t="s">
        <v>887</v>
      </c>
      <c r="C5" s="50" t="s">
        <v>888</v>
      </c>
      <c r="D5" s="50" t="s">
        <v>889</v>
      </c>
      <c r="E5" s="50" t="s">
        <v>31</v>
      </c>
      <c r="F5" s="50" t="s">
        <v>252</v>
      </c>
      <c r="G5" s="50" t="s">
        <v>890</v>
      </c>
      <c r="H5" s="50" t="s">
        <v>891</v>
      </c>
    </row>
    <row r="6" spans="1:8" ht="54" customHeight="1">
      <c r="A6" s="51" t="s">
        <v>669</v>
      </c>
      <c r="B6" s="51" t="s">
        <v>41</v>
      </c>
      <c r="C6" s="51" t="s">
        <v>892</v>
      </c>
      <c r="D6" s="51" t="s">
        <v>893</v>
      </c>
      <c r="E6" s="51" t="s">
        <v>614</v>
      </c>
      <c r="F6" s="54" t="s">
        <v>894</v>
      </c>
      <c r="G6" s="57" t="s">
        <v>895</v>
      </c>
      <c r="H6" s="51" t="s">
        <v>896</v>
      </c>
    </row>
    <row r="7" spans="1:8" ht="54" customHeight="1">
      <c r="A7" s="52" t="s">
        <v>783</v>
      </c>
      <c r="B7" s="52" t="s">
        <v>34</v>
      </c>
      <c r="C7" s="52" t="s">
        <v>897</v>
      </c>
      <c r="D7" s="52" t="s">
        <v>898</v>
      </c>
      <c r="E7" s="52" t="s">
        <v>614</v>
      </c>
      <c r="F7" s="55" t="s">
        <v>894</v>
      </c>
      <c r="G7" s="58" t="s">
        <v>895</v>
      </c>
      <c r="H7" s="52" t="s">
        <v>896</v>
      </c>
    </row>
    <row r="8" spans="1:8" ht="54" customHeight="1">
      <c r="A8" s="52" t="s">
        <v>899</v>
      </c>
      <c r="B8" s="52" t="s">
        <v>34</v>
      </c>
      <c r="C8" s="52" t="s">
        <v>900</v>
      </c>
      <c r="D8" s="52" t="s">
        <v>901</v>
      </c>
      <c r="E8" s="52" t="s">
        <v>902</v>
      </c>
      <c r="F8" s="55" t="s">
        <v>894</v>
      </c>
      <c r="G8" s="58" t="s">
        <v>895</v>
      </c>
      <c r="H8" s="52" t="s">
        <v>903</v>
      </c>
    </row>
    <row r="9" spans="1:8" ht="54" customHeight="1">
      <c r="A9" s="52" t="s">
        <v>904</v>
      </c>
      <c r="B9" s="52" t="s">
        <v>41</v>
      </c>
      <c r="C9" s="52" t="s">
        <v>905</v>
      </c>
      <c r="D9" s="52" t="s">
        <v>906</v>
      </c>
      <c r="E9" s="52" t="s">
        <v>907</v>
      </c>
      <c r="F9" s="55" t="s">
        <v>894</v>
      </c>
      <c r="G9" s="58" t="s">
        <v>895</v>
      </c>
      <c r="H9" s="52" t="s">
        <v>908</v>
      </c>
    </row>
    <row r="10" spans="1:8" ht="54" customHeight="1">
      <c r="A10" s="52" t="s">
        <v>909</v>
      </c>
      <c r="B10" s="52" t="s">
        <v>34</v>
      </c>
      <c r="C10" s="52" t="s">
        <v>910</v>
      </c>
      <c r="D10" s="52" t="s">
        <v>911</v>
      </c>
      <c r="E10" s="52" t="s">
        <v>614</v>
      </c>
      <c r="F10" s="55" t="s">
        <v>894</v>
      </c>
      <c r="G10" s="58" t="s">
        <v>895</v>
      </c>
      <c r="H10" s="52" t="s">
        <v>912</v>
      </c>
    </row>
    <row r="11" spans="1:8" ht="54" customHeight="1">
      <c r="A11" s="52" t="s">
        <v>913</v>
      </c>
      <c r="B11" s="52" t="s">
        <v>34</v>
      </c>
      <c r="C11" s="52" t="s">
        <v>914</v>
      </c>
      <c r="D11" s="52" t="s">
        <v>915</v>
      </c>
      <c r="E11" s="52" t="s">
        <v>614</v>
      </c>
      <c r="F11" s="55" t="s">
        <v>894</v>
      </c>
      <c r="G11" s="58" t="s">
        <v>895</v>
      </c>
      <c r="H11" s="52" t="s">
        <v>896</v>
      </c>
    </row>
    <row r="12" spans="1:8" ht="54" customHeight="1">
      <c r="A12" s="52" t="s">
        <v>916</v>
      </c>
      <c r="B12" s="52" t="s">
        <v>41</v>
      </c>
      <c r="C12" s="52" t="s">
        <v>917</v>
      </c>
      <c r="D12" s="52" t="s">
        <v>918</v>
      </c>
      <c r="E12" s="52" t="s">
        <v>108</v>
      </c>
      <c r="F12" s="55" t="s">
        <v>894</v>
      </c>
      <c r="G12" s="58" t="s">
        <v>895</v>
      </c>
      <c r="H12" s="52" t="s">
        <v>919</v>
      </c>
    </row>
    <row r="13" spans="1:8" ht="54" customHeight="1">
      <c r="A13" s="52" t="s">
        <v>920</v>
      </c>
      <c r="B13" s="52" t="s">
        <v>34</v>
      </c>
      <c r="C13" s="52" t="s">
        <v>921</v>
      </c>
      <c r="D13" s="52" t="s">
        <v>922</v>
      </c>
      <c r="E13" s="52" t="s">
        <v>902</v>
      </c>
      <c r="F13" s="55" t="s">
        <v>894</v>
      </c>
      <c r="G13" s="58" t="s">
        <v>895</v>
      </c>
      <c r="H13" s="52" t="s">
        <v>903</v>
      </c>
    </row>
    <row r="14" spans="1:8" ht="54" customHeight="1">
      <c r="A14" s="52" t="s">
        <v>923</v>
      </c>
      <c r="B14" s="52" t="s">
        <v>34</v>
      </c>
      <c r="C14" s="52" t="s">
        <v>924</v>
      </c>
      <c r="D14" s="52" t="s">
        <v>925</v>
      </c>
      <c r="E14" s="52" t="s">
        <v>614</v>
      </c>
      <c r="F14" s="55" t="s">
        <v>894</v>
      </c>
      <c r="G14" s="58" t="s">
        <v>895</v>
      </c>
      <c r="H14" s="52" t="s">
        <v>926</v>
      </c>
    </row>
    <row r="15" spans="1:8" ht="54" customHeight="1">
      <c r="A15" s="52" t="s">
        <v>927</v>
      </c>
      <c r="B15" s="52" t="s">
        <v>41</v>
      </c>
      <c r="C15" s="52" t="s">
        <v>928</v>
      </c>
      <c r="D15" s="52" t="s">
        <v>929</v>
      </c>
      <c r="E15" s="52" t="s">
        <v>614</v>
      </c>
      <c r="F15" s="55" t="s">
        <v>894</v>
      </c>
      <c r="G15" s="58" t="s">
        <v>895</v>
      </c>
      <c r="H15" s="52" t="s">
        <v>930</v>
      </c>
    </row>
    <row r="16" spans="1:8" ht="54" customHeight="1">
      <c r="A16" s="52" t="s">
        <v>931</v>
      </c>
      <c r="B16" s="52" t="s">
        <v>932</v>
      </c>
      <c r="C16" s="52" t="s">
        <v>933</v>
      </c>
      <c r="D16" s="52" t="s">
        <v>934</v>
      </c>
      <c r="E16" s="52" t="s">
        <v>935</v>
      </c>
      <c r="F16" s="55" t="s">
        <v>894</v>
      </c>
      <c r="G16" s="58" t="s">
        <v>936</v>
      </c>
      <c r="H16" s="52" t="s">
        <v>937</v>
      </c>
    </row>
    <row r="17" spans="1:8" ht="54" customHeight="1">
      <c r="A17" s="53" t="s">
        <v>938</v>
      </c>
      <c r="B17" s="53" t="s">
        <v>939</v>
      </c>
      <c r="C17" s="53" t="s">
        <v>940</v>
      </c>
      <c r="D17" s="53" t="s">
        <v>941</v>
      </c>
      <c r="E17" s="53" t="s">
        <v>942</v>
      </c>
      <c r="F17" s="56" t="s">
        <v>894</v>
      </c>
      <c r="G17" s="59" t="s">
        <v>943</v>
      </c>
      <c r="H17" s="53" t="s">
        <v>944</v>
      </c>
    </row>
  </sheetData>
  <mergeCells count="2">
    <mergeCell ref="A1:H2"/>
    <mergeCell ref="A3:H3"/>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7"/>
  <sheetViews>
    <sheetView workbookViewId="0"/>
  </sheetViews>
  <sheetFormatPr defaultRowHeight="14.25"/>
  <cols>
    <col min="1" max="1" width="9" customWidth="1"/>
    <col min="2" max="2" width="26" customWidth="1"/>
    <col min="3" max="3" width="8" customWidth="1"/>
    <col min="4" max="4" width="11" customWidth="1"/>
    <col min="5" max="5" width="20" customWidth="1"/>
    <col min="6" max="6" width="34" customWidth="1"/>
    <col min="7" max="7" width="52" customWidth="1"/>
    <col min="8" max="8" width="34" customWidth="1"/>
    <col min="9" max="9" width="26" customWidth="1"/>
    <col min="10" max="10" width="13" customWidth="1"/>
    <col min="11" max="11" width="12" customWidth="1"/>
    <col min="12" max="12" width="40" customWidth="1"/>
  </cols>
  <sheetData>
    <row r="1" spans="1:12" ht="27.95" customHeight="1">
      <c r="A1" s="127" t="s">
        <v>945</v>
      </c>
      <c r="B1" s="85"/>
      <c r="C1" s="85"/>
      <c r="D1" s="85"/>
      <c r="E1" s="85"/>
      <c r="F1" s="85"/>
      <c r="G1" s="85"/>
      <c r="H1" s="85"/>
      <c r="I1" s="85"/>
      <c r="J1" s="85"/>
      <c r="K1" s="85"/>
      <c r="L1" s="85"/>
    </row>
    <row r="3" spans="1:12" ht="62.1" customHeight="1">
      <c r="A3" s="125" t="s">
        <v>946</v>
      </c>
      <c r="B3" s="85"/>
      <c r="C3" s="85"/>
      <c r="D3" s="85"/>
      <c r="E3" s="85"/>
      <c r="F3" s="85"/>
      <c r="G3" s="85"/>
      <c r="H3" s="85"/>
      <c r="I3" s="85"/>
      <c r="J3" s="85"/>
      <c r="K3" s="85"/>
      <c r="L3" s="85"/>
    </row>
    <row r="5" spans="1:12" ht="30" customHeight="1">
      <c r="A5" s="60" t="s">
        <v>72</v>
      </c>
      <c r="B5" s="60" t="s">
        <v>620</v>
      </c>
      <c r="C5" s="60" t="s">
        <v>26</v>
      </c>
      <c r="D5" s="60" t="s">
        <v>73</v>
      </c>
      <c r="E5" s="60" t="s">
        <v>947</v>
      </c>
      <c r="F5" s="60" t="s">
        <v>77</v>
      </c>
      <c r="G5" s="60" t="s">
        <v>509</v>
      </c>
      <c r="H5" s="60" t="s">
        <v>29</v>
      </c>
      <c r="I5" s="60" t="s">
        <v>948</v>
      </c>
      <c r="J5" s="60" t="s">
        <v>949</v>
      </c>
      <c r="K5" s="60" t="s">
        <v>805</v>
      </c>
      <c r="L5" s="60" t="s">
        <v>84</v>
      </c>
    </row>
    <row r="6" spans="1:12" ht="132" customHeight="1">
      <c r="A6" s="61" t="s">
        <v>950</v>
      </c>
      <c r="B6" s="61" t="s">
        <v>951</v>
      </c>
      <c r="C6" s="61" t="s">
        <v>34</v>
      </c>
      <c r="D6" s="62" t="s">
        <v>19</v>
      </c>
      <c r="E6" s="61" t="s">
        <v>952</v>
      </c>
      <c r="F6" s="61" t="s">
        <v>953</v>
      </c>
      <c r="G6" s="61" t="s">
        <v>954</v>
      </c>
      <c r="H6" s="61" t="s">
        <v>955</v>
      </c>
      <c r="I6" s="61" t="s">
        <v>956</v>
      </c>
      <c r="J6" s="61" t="s">
        <v>957</v>
      </c>
      <c r="K6" s="61" t="s">
        <v>958</v>
      </c>
      <c r="L6" s="61" t="s">
        <v>959</v>
      </c>
    </row>
    <row r="7" spans="1:12" ht="132" customHeight="1">
      <c r="A7" s="61" t="s">
        <v>960</v>
      </c>
      <c r="B7" s="61" t="s">
        <v>961</v>
      </c>
      <c r="C7" s="61" t="s">
        <v>41</v>
      </c>
      <c r="D7" s="63" t="s">
        <v>16</v>
      </c>
      <c r="E7" s="61" t="s">
        <v>952</v>
      </c>
      <c r="F7" s="61" t="s">
        <v>962</v>
      </c>
      <c r="G7" s="61" t="s">
        <v>963</v>
      </c>
      <c r="H7" s="61" t="s">
        <v>964</v>
      </c>
      <c r="I7" s="61" t="s">
        <v>965</v>
      </c>
      <c r="J7" s="61" t="s">
        <v>98</v>
      </c>
      <c r="K7" s="61" t="s">
        <v>98</v>
      </c>
      <c r="L7" s="61" t="s">
        <v>966</v>
      </c>
    </row>
    <row r="8" spans="1:12" ht="132" customHeight="1">
      <c r="A8" s="61" t="s">
        <v>967</v>
      </c>
      <c r="B8" s="61" t="s">
        <v>968</v>
      </c>
      <c r="C8" s="61" t="s">
        <v>41</v>
      </c>
      <c r="D8" s="64" t="s">
        <v>826</v>
      </c>
      <c r="E8" s="61" t="s">
        <v>969</v>
      </c>
      <c r="F8" s="61" t="s">
        <v>970</v>
      </c>
      <c r="G8" s="61" t="s">
        <v>971</v>
      </c>
      <c r="H8" s="61" t="s">
        <v>972</v>
      </c>
      <c r="I8" s="61" t="s">
        <v>965</v>
      </c>
      <c r="J8" s="61" t="s">
        <v>98</v>
      </c>
      <c r="K8" s="61" t="s">
        <v>98</v>
      </c>
      <c r="L8" s="61" t="s">
        <v>973</v>
      </c>
    </row>
    <row r="9" spans="1:12" ht="132" customHeight="1">
      <c r="A9" s="61" t="s">
        <v>916</v>
      </c>
      <c r="B9" s="61" t="s">
        <v>974</v>
      </c>
      <c r="C9" s="61" t="s">
        <v>41</v>
      </c>
      <c r="D9" s="63" t="s">
        <v>16</v>
      </c>
      <c r="E9" s="61" t="s">
        <v>952</v>
      </c>
      <c r="F9" s="61" t="s">
        <v>975</v>
      </c>
      <c r="G9" s="61" t="s">
        <v>976</v>
      </c>
      <c r="H9" s="61" t="s">
        <v>977</v>
      </c>
      <c r="I9" s="61" t="s">
        <v>965</v>
      </c>
      <c r="J9" s="61" t="s">
        <v>98</v>
      </c>
      <c r="K9" s="61" t="s">
        <v>98</v>
      </c>
      <c r="L9" s="61" t="s">
        <v>978</v>
      </c>
    </row>
    <row r="10" spans="1:12" ht="132" customHeight="1">
      <c r="A10" s="61" t="s">
        <v>979</v>
      </c>
      <c r="B10" s="61" t="s">
        <v>980</v>
      </c>
      <c r="C10" s="61" t="s">
        <v>34</v>
      </c>
      <c r="D10" s="63" t="s">
        <v>16</v>
      </c>
      <c r="E10" s="61" t="s">
        <v>952</v>
      </c>
      <c r="F10" s="61" t="s">
        <v>981</v>
      </c>
      <c r="G10" s="61" t="s">
        <v>982</v>
      </c>
      <c r="H10" s="61" t="s">
        <v>983</v>
      </c>
      <c r="I10" s="61" t="s">
        <v>965</v>
      </c>
      <c r="J10" s="61" t="s">
        <v>98</v>
      </c>
      <c r="K10" s="61" t="s">
        <v>98</v>
      </c>
      <c r="L10" s="61" t="s">
        <v>984</v>
      </c>
    </row>
    <row r="11" spans="1:12" ht="132" customHeight="1">
      <c r="A11" s="61" t="s">
        <v>985</v>
      </c>
      <c r="B11" s="61" t="s">
        <v>986</v>
      </c>
      <c r="C11" s="61" t="s">
        <v>34</v>
      </c>
      <c r="D11" s="63" t="s">
        <v>16</v>
      </c>
      <c r="E11" s="61" t="s">
        <v>987</v>
      </c>
      <c r="F11" s="61" t="s">
        <v>988</v>
      </c>
      <c r="G11" s="61" t="s">
        <v>989</v>
      </c>
      <c r="H11" s="61" t="s">
        <v>990</v>
      </c>
      <c r="I11" s="61" t="s">
        <v>991</v>
      </c>
      <c r="J11" s="61" t="s">
        <v>98</v>
      </c>
      <c r="K11" s="61" t="s">
        <v>98</v>
      </c>
      <c r="L11" s="61" t="s">
        <v>992</v>
      </c>
    </row>
    <row r="12" spans="1:12" ht="132" customHeight="1">
      <c r="A12" s="61" t="s">
        <v>993</v>
      </c>
      <c r="B12" s="61" t="s">
        <v>994</v>
      </c>
      <c r="C12" s="61" t="s">
        <v>34</v>
      </c>
      <c r="D12" s="64" t="s">
        <v>826</v>
      </c>
      <c r="E12" s="61" t="s">
        <v>995</v>
      </c>
      <c r="F12" s="61" t="s">
        <v>996</v>
      </c>
      <c r="G12" s="61" t="s">
        <v>997</v>
      </c>
      <c r="H12" s="61" t="s">
        <v>998</v>
      </c>
      <c r="I12" s="61" t="s">
        <v>965</v>
      </c>
      <c r="J12" s="61" t="s">
        <v>98</v>
      </c>
      <c r="K12" s="61" t="s">
        <v>98</v>
      </c>
      <c r="L12" s="61" t="s">
        <v>999</v>
      </c>
    </row>
    <row r="14" spans="1:12" ht="15">
      <c r="A14" s="126" t="s">
        <v>1000</v>
      </c>
      <c r="B14" s="85"/>
      <c r="C14" s="85"/>
      <c r="D14" s="85"/>
      <c r="E14" s="85"/>
      <c r="F14" s="85"/>
      <c r="G14" s="85"/>
      <c r="H14" s="85"/>
      <c r="I14" s="85"/>
      <c r="J14" s="85"/>
      <c r="K14" s="85"/>
      <c r="L14" s="85"/>
    </row>
    <row r="15" spans="1:12">
      <c r="A15" s="65" t="s">
        <v>72</v>
      </c>
      <c r="B15" s="65" t="s">
        <v>620</v>
      </c>
      <c r="C15" s="65" t="s">
        <v>26</v>
      </c>
      <c r="D15" s="65" t="s">
        <v>73</v>
      </c>
      <c r="E15" s="65" t="s">
        <v>1001</v>
      </c>
      <c r="F15" s="65" t="s">
        <v>1002</v>
      </c>
      <c r="G15" s="65" t="s">
        <v>1002</v>
      </c>
      <c r="H15" s="65" t="s">
        <v>1002</v>
      </c>
      <c r="I15" s="65" t="s">
        <v>1002</v>
      </c>
      <c r="J15" s="65" t="s">
        <v>1002</v>
      </c>
      <c r="K15" s="65" t="s">
        <v>1002</v>
      </c>
      <c r="L15" s="65" t="s">
        <v>1002</v>
      </c>
    </row>
    <row r="16" spans="1:12" ht="30" customHeight="1">
      <c r="A16" s="61" t="s">
        <v>1003</v>
      </c>
      <c r="B16" s="61" t="s">
        <v>1004</v>
      </c>
      <c r="C16" s="61" t="s">
        <v>34</v>
      </c>
      <c r="D16" s="64" t="s">
        <v>21</v>
      </c>
      <c r="E16" s="61" t="s">
        <v>1005</v>
      </c>
    </row>
    <row r="17" spans="1:5" ht="30" customHeight="1">
      <c r="A17" s="61" t="s">
        <v>1006</v>
      </c>
      <c r="B17" s="61" t="s">
        <v>1007</v>
      </c>
      <c r="C17" s="61" t="s">
        <v>34</v>
      </c>
      <c r="D17" s="64" t="s">
        <v>21</v>
      </c>
      <c r="E17" s="61" t="s">
        <v>1008</v>
      </c>
    </row>
    <row r="18" spans="1:5" ht="30" customHeight="1">
      <c r="A18" s="61" t="s">
        <v>1009</v>
      </c>
      <c r="B18" s="61" t="s">
        <v>1010</v>
      </c>
      <c r="C18" s="61" t="s">
        <v>34</v>
      </c>
      <c r="D18" s="64" t="s">
        <v>21</v>
      </c>
      <c r="E18" s="61" t="s">
        <v>1011</v>
      </c>
    </row>
    <row r="19" spans="1:5" ht="30" customHeight="1">
      <c r="A19" s="61" t="s">
        <v>1012</v>
      </c>
      <c r="B19" s="61" t="s">
        <v>1013</v>
      </c>
      <c r="C19" s="61" t="s">
        <v>34</v>
      </c>
      <c r="D19" s="64" t="s">
        <v>21</v>
      </c>
      <c r="E19" s="61" t="s">
        <v>1014</v>
      </c>
    </row>
    <row r="20" spans="1:5" ht="30" customHeight="1">
      <c r="A20" s="61" t="s">
        <v>1015</v>
      </c>
      <c r="B20" s="61" t="s">
        <v>1016</v>
      </c>
      <c r="C20" s="61" t="s">
        <v>41</v>
      </c>
      <c r="D20" s="64" t="s">
        <v>21</v>
      </c>
      <c r="E20" s="61" t="s">
        <v>1017</v>
      </c>
    </row>
    <row r="21" spans="1:5" ht="30" customHeight="1">
      <c r="A21" s="61" t="s">
        <v>1018</v>
      </c>
      <c r="B21" s="61" t="s">
        <v>1019</v>
      </c>
      <c r="C21" s="61" t="s">
        <v>34</v>
      </c>
      <c r="D21" s="64" t="s">
        <v>21</v>
      </c>
      <c r="E21" s="61" t="s">
        <v>1020</v>
      </c>
    </row>
    <row r="22" spans="1:5" ht="30" customHeight="1">
      <c r="A22" s="61" t="s">
        <v>1021</v>
      </c>
      <c r="B22" s="61" t="s">
        <v>1022</v>
      </c>
      <c r="C22" s="61" t="s">
        <v>34</v>
      </c>
      <c r="D22" s="64" t="s">
        <v>21</v>
      </c>
      <c r="E22" s="61" t="s">
        <v>1023</v>
      </c>
    </row>
    <row r="23" spans="1:5" ht="30" customHeight="1">
      <c r="A23" s="61" t="s">
        <v>1024</v>
      </c>
      <c r="B23" s="61" t="s">
        <v>1025</v>
      </c>
      <c r="C23" s="61" t="s">
        <v>34</v>
      </c>
      <c r="D23" s="64" t="s">
        <v>21</v>
      </c>
      <c r="E23" s="61" t="s">
        <v>1026</v>
      </c>
    </row>
    <row r="24" spans="1:5" ht="30" customHeight="1">
      <c r="A24" s="61" t="s">
        <v>1027</v>
      </c>
      <c r="B24" s="61" t="s">
        <v>1028</v>
      </c>
      <c r="C24" s="61" t="s">
        <v>41</v>
      </c>
      <c r="D24" s="64" t="s">
        <v>21</v>
      </c>
      <c r="E24" s="61" t="s">
        <v>1026</v>
      </c>
    </row>
    <row r="25" spans="1:5" ht="30" customHeight="1">
      <c r="A25" s="61" t="s">
        <v>1029</v>
      </c>
      <c r="B25" s="61" t="s">
        <v>1030</v>
      </c>
      <c r="C25" s="61" t="s">
        <v>34</v>
      </c>
      <c r="D25" s="64" t="s">
        <v>21</v>
      </c>
      <c r="E25" s="61" t="s">
        <v>1031</v>
      </c>
    </row>
    <row r="26" spans="1:5" ht="30" customHeight="1">
      <c r="A26" s="61" t="s">
        <v>1032</v>
      </c>
      <c r="B26" s="61" t="s">
        <v>1033</v>
      </c>
      <c r="C26" s="61" t="s">
        <v>34</v>
      </c>
      <c r="D26" s="64" t="s">
        <v>21</v>
      </c>
      <c r="E26" s="61" t="s">
        <v>1017</v>
      </c>
    </row>
    <row r="27" spans="1:5" ht="30" customHeight="1">
      <c r="A27" s="61" t="s">
        <v>1034</v>
      </c>
      <c r="B27" s="61" t="s">
        <v>1035</v>
      </c>
      <c r="C27" s="61" t="s">
        <v>41</v>
      </c>
      <c r="D27" s="64" t="s">
        <v>21</v>
      </c>
      <c r="E27" s="61" t="s">
        <v>1036</v>
      </c>
    </row>
  </sheetData>
  <mergeCells count="3">
    <mergeCell ref="A3:L3"/>
    <mergeCell ref="A14:L14"/>
    <mergeCell ref="A1: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5"/>
  <sheetViews>
    <sheetView showGridLines="0" tabSelected="1" topLeftCell="C61" workbookViewId="0">
      <selection activeCell="F50" sqref="F50"/>
    </sheetView>
  </sheetViews>
  <sheetFormatPr defaultRowHeight="14.25"/>
  <cols>
    <col min="1" max="1" width="13" customWidth="1"/>
    <col min="2" max="2" width="30" customWidth="1"/>
    <col min="3" max="3" width="42" customWidth="1"/>
    <col min="4" max="5" width="62" customWidth="1"/>
    <col min="6" max="6" width="38" customWidth="1"/>
  </cols>
  <sheetData>
    <row r="1" spans="1:6" ht="30" customHeight="1">
      <c r="A1" s="128" t="s">
        <v>1037</v>
      </c>
      <c r="B1" s="128"/>
      <c r="C1" s="128"/>
      <c r="D1" s="128"/>
      <c r="E1" s="128"/>
      <c r="F1" s="128"/>
    </row>
    <row r="2" spans="1:6" ht="30" customHeight="1">
      <c r="A2" s="128"/>
      <c r="B2" s="128"/>
      <c r="C2" s="128"/>
      <c r="D2" s="128"/>
      <c r="E2" s="128"/>
      <c r="F2" s="128"/>
    </row>
    <row r="3" spans="1:6" ht="39.950000000000003" customHeight="1">
      <c r="A3" s="129" t="s">
        <v>1038</v>
      </c>
      <c r="B3" s="129"/>
      <c r="C3" s="129"/>
      <c r="D3" s="129"/>
      <c r="E3" s="129"/>
      <c r="F3" s="129"/>
    </row>
    <row r="4" spans="1:6" ht="32.1" customHeight="1">
      <c r="A4" s="130" t="s">
        <v>1039</v>
      </c>
      <c r="B4" s="130"/>
      <c r="C4" s="130"/>
      <c r="D4" s="130"/>
      <c r="E4" s="130"/>
      <c r="F4" s="130"/>
    </row>
    <row r="5" spans="1:6" ht="33.950000000000003" customHeight="1">
      <c r="A5" s="66" t="s">
        <v>1040</v>
      </c>
      <c r="B5" s="66" t="s">
        <v>1041</v>
      </c>
      <c r="C5" s="66" t="s">
        <v>1042</v>
      </c>
      <c r="D5" s="66" t="s">
        <v>1043</v>
      </c>
      <c r="E5" s="66" t="s">
        <v>1044</v>
      </c>
      <c r="F5" s="66" t="s">
        <v>1045</v>
      </c>
    </row>
    <row r="6" spans="1:6" ht="89.1" customHeight="1">
      <c r="A6" s="69" t="s">
        <v>87</v>
      </c>
      <c r="B6" s="67" t="s">
        <v>1046</v>
      </c>
      <c r="C6" s="67" t="s">
        <v>1047</v>
      </c>
      <c r="D6" s="67" t="s">
        <v>1048</v>
      </c>
      <c r="E6" s="67" t="s">
        <v>1049</v>
      </c>
      <c r="F6" s="71" t="s">
        <v>1271</v>
      </c>
    </row>
    <row r="7" spans="1:6" ht="104.1" customHeight="1">
      <c r="A7" s="70" t="s">
        <v>100</v>
      </c>
      <c r="B7" s="68" t="s">
        <v>1050</v>
      </c>
      <c r="C7" s="68" t="s">
        <v>1051</v>
      </c>
      <c r="D7" s="68" t="s">
        <v>1052</v>
      </c>
      <c r="E7" s="68" t="s">
        <v>1053</v>
      </c>
      <c r="F7" s="72" t="s">
        <v>1271</v>
      </c>
    </row>
    <row r="8" spans="1:6" ht="74.099999999999994" customHeight="1">
      <c r="A8" s="70" t="s">
        <v>109</v>
      </c>
      <c r="B8" s="68" t="s">
        <v>1054</v>
      </c>
      <c r="C8" s="68" t="s">
        <v>1055</v>
      </c>
      <c r="D8" s="68" t="s">
        <v>1056</v>
      </c>
      <c r="E8" s="68" t="s">
        <v>1057</v>
      </c>
      <c r="F8" s="72" t="s">
        <v>1271</v>
      </c>
    </row>
    <row r="9" spans="1:6" ht="149.1" customHeight="1">
      <c r="A9" s="70" t="s">
        <v>206</v>
      </c>
      <c r="B9" s="68" t="s">
        <v>1058</v>
      </c>
      <c r="C9" s="68" t="s">
        <v>1059</v>
      </c>
      <c r="D9" s="68" t="s">
        <v>1060</v>
      </c>
      <c r="E9" s="68" t="s">
        <v>1061</v>
      </c>
      <c r="F9" s="72" t="s">
        <v>1271</v>
      </c>
    </row>
    <row r="10" spans="1:6" ht="134.1" customHeight="1">
      <c r="A10" s="70" t="s">
        <v>121</v>
      </c>
      <c r="B10" s="68" t="s">
        <v>1062</v>
      </c>
      <c r="C10" s="68" t="s">
        <v>1063</v>
      </c>
      <c r="D10" s="68" t="s">
        <v>1064</v>
      </c>
      <c r="E10" s="68" t="s">
        <v>1065</v>
      </c>
      <c r="F10" s="72" t="s">
        <v>1271</v>
      </c>
    </row>
    <row r="11" spans="1:6" ht="119.1" customHeight="1">
      <c r="A11" s="70" t="s">
        <v>145</v>
      </c>
      <c r="B11" s="68" t="s">
        <v>1066</v>
      </c>
      <c r="C11" s="68" t="s">
        <v>1067</v>
      </c>
      <c r="D11" s="68" t="s">
        <v>1068</v>
      </c>
      <c r="E11" s="68" t="s">
        <v>1069</v>
      </c>
      <c r="F11" s="72" t="s">
        <v>1271</v>
      </c>
    </row>
    <row r="12" spans="1:6" ht="134.1" customHeight="1">
      <c r="A12" s="70" t="s">
        <v>381</v>
      </c>
      <c r="B12" s="68" t="s">
        <v>1070</v>
      </c>
      <c r="C12" s="68" t="s">
        <v>1071</v>
      </c>
      <c r="D12" s="68" t="s">
        <v>1072</v>
      </c>
      <c r="E12" s="68" t="s">
        <v>1073</v>
      </c>
      <c r="F12" s="72" t="s">
        <v>1271</v>
      </c>
    </row>
    <row r="13" spans="1:6" ht="164.1" customHeight="1">
      <c r="A13" s="70" t="s">
        <v>391</v>
      </c>
      <c r="B13" s="68" t="s">
        <v>1074</v>
      </c>
      <c r="C13" s="68" t="s">
        <v>1075</v>
      </c>
      <c r="D13" s="68" t="s">
        <v>1076</v>
      </c>
      <c r="E13" s="68" t="s">
        <v>1077</v>
      </c>
      <c r="F13" s="72" t="s">
        <v>1271</v>
      </c>
    </row>
    <row r="14" spans="1:6" ht="89.1" customHeight="1">
      <c r="A14" s="70" t="s">
        <v>399</v>
      </c>
      <c r="B14" s="68" t="s">
        <v>1078</v>
      </c>
      <c r="C14" s="68" t="s">
        <v>1079</v>
      </c>
      <c r="D14" s="68" t="s">
        <v>1080</v>
      </c>
      <c r="E14" s="68" t="s">
        <v>1081</v>
      </c>
      <c r="F14" s="72" t="s">
        <v>1271</v>
      </c>
    </row>
    <row r="15" spans="1:6" ht="134.1" customHeight="1">
      <c r="A15" s="70" t="s">
        <v>407</v>
      </c>
      <c r="B15" s="68" t="s">
        <v>1082</v>
      </c>
      <c r="C15" s="68" t="s">
        <v>1083</v>
      </c>
      <c r="D15" s="68" t="s">
        <v>1084</v>
      </c>
      <c r="E15" s="68" t="s">
        <v>1085</v>
      </c>
      <c r="F15" s="72" t="s">
        <v>1271</v>
      </c>
    </row>
    <row r="16" spans="1:6" ht="134.1" customHeight="1">
      <c r="A16" s="70" t="s">
        <v>419</v>
      </c>
      <c r="B16" s="68" t="s">
        <v>1086</v>
      </c>
      <c r="C16" s="68" t="s">
        <v>1087</v>
      </c>
      <c r="D16" s="68" t="s">
        <v>1088</v>
      </c>
      <c r="E16" s="68" t="s">
        <v>1089</v>
      </c>
      <c r="F16" s="72" t="s">
        <v>1271</v>
      </c>
    </row>
    <row r="17" spans="1:6" ht="104.1" customHeight="1">
      <c r="A17" s="70" t="s">
        <v>430</v>
      </c>
      <c r="B17" s="68" t="s">
        <v>1090</v>
      </c>
      <c r="C17" s="68" t="s">
        <v>1091</v>
      </c>
      <c r="D17" s="68" t="s">
        <v>1092</v>
      </c>
      <c r="E17" s="68" t="s">
        <v>1093</v>
      </c>
      <c r="F17" s="72" t="s">
        <v>1271</v>
      </c>
    </row>
    <row r="18" spans="1:6" ht="119.1" customHeight="1">
      <c r="A18" s="70" t="s">
        <v>442</v>
      </c>
      <c r="B18" s="68" t="s">
        <v>1094</v>
      </c>
      <c r="C18" s="68" t="s">
        <v>1095</v>
      </c>
      <c r="D18" s="68" t="s">
        <v>1096</v>
      </c>
      <c r="E18" s="68" t="s">
        <v>1097</v>
      </c>
      <c r="F18" s="72" t="s">
        <v>1271</v>
      </c>
    </row>
    <row r="19" spans="1:6" ht="119.1" customHeight="1">
      <c r="A19" s="70" t="s">
        <v>453</v>
      </c>
      <c r="B19" s="68" t="s">
        <v>1098</v>
      </c>
      <c r="C19" s="68" t="s">
        <v>1099</v>
      </c>
      <c r="D19" s="68" t="s">
        <v>1100</v>
      </c>
      <c r="E19" s="68" t="s">
        <v>1101</v>
      </c>
      <c r="F19" s="72" t="s">
        <v>1271</v>
      </c>
    </row>
    <row r="20" spans="1:6" ht="179.1" customHeight="1">
      <c r="A20" s="70" t="s">
        <v>464</v>
      </c>
      <c r="B20" s="68" t="s">
        <v>1102</v>
      </c>
      <c r="C20" s="68" t="s">
        <v>1103</v>
      </c>
      <c r="D20" s="68" t="s">
        <v>1104</v>
      </c>
      <c r="E20" s="68" t="s">
        <v>1105</v>
      </c>
      <c r="F20" s="72" t="s">
        <v>1271</v>
      </c>
    </row>
    <row r="21" spans="1:6" ht="104.1" customHeight="1">
      <c r="A21" s="70" t="s">
        <v>474</v>
      </c>
      <c r="B21" s="68" t="s">
        <v>1106</v>
      </c>
      <c r="C21" s="68" t="s">
        <v>1107</v>
      </c>
      <c r="D21" s="68" t="s">
        <v>1108</v>
      </c>
      <c r="E21" s="68" t="s">
        <v>1109</v>
      </c>
      <c r="F21" s="72" t="s">
        <v>1271</v>
      </c>
    </row>
    <row r="22" spans="1:6" ht="104.1" customHeight="1">
      <c r="A22" s="70" t="s">
        <v>629</v>
      </c>
      <c r="B22" s="68" t="s">
        <v>1110</v>
      </c>
      <c r="C22" s="68" t="s">
        <v>1111</v>
      </c>
      <c r="D22" s="68" t="s">
        <v>1112</v>
      </c>
      <c r="E22" s="68" t="s">
        <v>1113</v>
      </c>
      <c r="F22" s="72" t="s">
        <v>1271</v>
      </c>
    </row>
    <row r="23" spans="1:6" ht="134.1" customHeight="1">
      <c r="A23" s="70" t="s">
        <v>642</v>
      </c>
      <c r="B23" s="68" t="s">
        <v>1114</v>
      </c>
      <c r="C23" s="68" t="s">
        <v>1115</v>
      </c>
      <c r="D23" s="68" t="s">
        <v>1116</v>
      </c>
      <c r="E23" s="68" t="s">
        <v>1117</v>
      </c>
      <c r="F23" s="72" t="s">
        <v>1271</v>
      </c>
    </row>
    <row r="24" spans="1:6" ht="104.1" customHeight="1">
      <c r="A24" s="70" t="s">
        <v>651</v>
      </c>
      <c r="B24" s="68" t="s">
        <v>1118</v>
      </c>
      <c r="C24" s="68" t="s">
        <v>1119</v>
      </c>
      <c r="D24" s="68" t="s">
        <v>1120</v>
      </c>
      <c r="E24" s="68" t="s">
        <v>1121</v>
      </c>
      <c r="F24" s="72" t="s">
        <v>1271</v>
      </c>
    </row>
    <row r="25" spans="1:6" ht="134.1" customHeight="1">
      <c r="A25" s="70" t="s">
        <v>660</v>
      </c>
      <c r="B25" s="68" t="s">
        <v>1122</v>
      </c>
      <c r="C25" s="68" t="s">
        <v>1123</v>
      </c>
      <c r="D25" s="68" t="s">
        <v>1124</v>
      </c>
      <c r="E25" s="68" t="s">
        <v>1125</v>
      </c>
      <c r="F25" s="72" t="s">
        <v>1271</v>
      </c>
    </row>
    <row r="26" spans="1:6" ht="89.1" customHeight="1">
      <c r="A26" s="70" t="s">
        <v>669</v>
      </c>
      <c r="B26" s="68" t="s">
        <v>1126</v>
      </c>
      <c r="C26" s="68" t="s">
        <v>1127</v>
      </c>
      <c r="D26" s="68" t="s">
        <v>1128</v>
      </c>
      <c r="E26" s="68" t="s">
        <v>1129</v>
      </c>
      <c r="F26" s="72" t="s">
        <v>1271</v>
      </c>
    </row>
    <row r="27" spans="1:6" ht="149.1" customHeight="1">
      <c r="A27" s="70" t="s">
        <v>749</v>
      </c>
      <c r="B27" s="68" t="s">
        <v>750</v>
      </c>
      <c r="C27" s="68" t="s">
        <v>1130</v>
      </c>
      <c r="D27" s="68" t="s">
        <v>1131</v>
      </c>
      <c r="E27" s="68" t="s">
        <v>1132</v>
      </c>
      <c r="F27" s="72" t="s">
        <v>1272</v>
      </c>
    </row>
    <row r="28" spans="1:6" ht="240" customHeight="1">
      <c r="A28" s="70" t="s">
        <v>758</v>
      </c>
      <c r="B28" s="68" t="s">
        <v>1133</v>
      </c>
      <c r="C28" s="68" t="s">
        <v>1134</v>
      </c>
      <c r="D28" s="68" t="s">
        <v>1135</v>
      </c>
      <c r="E28" s="68" t="s">
        <v>1136</v>
      </c>
      <c r="F28" s="72" t="s">
        <v>1271</v>
      </c>
    </row>
    <row r="29" spans="1:6" ht="104.1" customHeight="1">
      <c r="A29" s="70" t="s">
        <v>766</v>
      </c>
      <c r="B29" s="68" t="s">
        <v>767</v>
      </c>
      <c r="C29" s="68" t="s">
        <v>1137</v>
      </c>
      <c r="D29" s="68" t="s">
        <v>1138</v>
      </c>
      <c r="E29" s="68" t="s">
        <v>1139</v>
      </c>
      <c r="F29" s="72" t="s">
        <v>1271</v>
      </c>
    </row>
    <row r="30" spans="1:6" ht="119.1" customHeight="1">
      <c r="A30" s="70" t="s">
        <v>775</v>
      </c>
      <c r="B30" s="68" t="s">
        <v>776</v>
      </c>
      <c r="C30" s="68" t="s">
        <v>1140</v>
      </c>
      <c r="D30" s="68" t="s">
        <v>1141</v>
      </c>
      <c r="E30" s="68" t="s">
        <v>1142</v>
      </c>
      <c r="F30" s="72" t="s">
        <v>1271</v>
      </c>
    </row>
    <row r="31" spans="1:6" ht="134.1" customHeight="1">
      <c r="A31" s="70" t="s">
        <v>783</v>
      </c>
      <c r="B31" s="68" t="s">
        <v>1143</v>
      </c>
      <c r="C31" s="68" t="s">
        <v>1144</v>
      </c>
      <c r="D31" s="68" t="s">
        <v>1145</v>
      </c>
      <c r="E31" s="68" t="s">
        <v>1146</v>
      </c>
      <c r="F31" s="72" t="s">
        <v>1273</v>
      </c>
    </row>
    <row r="32" spans="1:6" ht="74.099999999999994" customHeight="1">
      <c r="A32" s="75" t="s">
        <v>1003</v>
      </c>
      <c r="B32" s="73" t="s">
        <v>1004</v>
      </c>
      <c r="C32" s="73" t="s">
        <v>1147</v>
      </c>
      <c r="D32" s="73" t="s">
        <v>1148</v>
      </c>
      <c r="E32" s="73" t="s">
        <v>1149</v>
      </c>
      <c r="F32" s="74" t="s">
        <v>1271</v>
      </c>
    </row>
    <row r="33" spans="1:6" ht="89.1" customHeight="1">
      <c r="A33" s="75" t="s">
        <v>1006</v>
      </c>
      <c r="B33" s="73" t="s">
        <v>1007</v>
      </c>
      <c r="C33" s="73" t="s">
        <v>1150</v>
      </c>
      <c r="D33" s="73" t="s">
        <v>1151</v>
      </c>
      <c r="E33" s="73" t="s">
        <v>1152</v>
      </c>
      <c r="F33" s="74" t="s">
        <v>1271</v>
      </c>
    </row>
    <row r="34" spans="1:6" ht="119.1" customHeight="1">
      <c r="A34" s="70" t="s">
        <v>899</v>
      </c>
      <c r="B34" s="68" t="s">
        <v>1153</v>
      </c>
      <c r="C34" s="68" t="s">
        <v>1154</v>
      </c>
      <c r="D34" s="68" t="s">
        <v>1155</v>
      </c>
      <c r="E34" s="68" t="s">
        <v>1156</v>
      </c>
      <c r="F34" s="72" t="s">
        <v>1271</v>
      </c>
    </row>
    <row r="35" spans="1:6" ht="89.1" customHeight="1">
      <c r="A35" s="75" t="s">
        <v>1009</v>
      </c>
      <c r="B35" s="73" t="s">
        <v>1010</v>
      </c>
      <c r="C35" s="73" t="s">
        <v>1157</v>
      </c>
      <c r="D35" s="73" t="s">
        <v>1158</v>
      </c>
      <c r="E35" s="73" t="s">
        <v>1159</v>
      </c>
      <c r="F35" s="74" t="s">
        <v>1271</v>
      </c>
    </row>
    <row r="36" spans="1:6" ht="89.1" customHeight="1">
      <c r="A36" s="75" t="s">
        <v>1012</v>
      </c>
      <c r="B36" s="73" t="s">
        <v>1013</v>
      </c>
      <c r="C36" s="73" t="s">
        <v>1160</v>
      </c>
      <c r="D36" s="73" t="s">
        <v>1161</v>
      </c>
      <c r="E36" s="73" t="s">
        <v>1162</v>
      </c>
      <c r="F36" s="74" t="s">
        <v>1271</v>
      </c>
    </row>
    <row r="37" spans="1:6" ht="89.1" customHeight="1">
      <c r="A37" s="75" t="s">
        <v>1015</v>
      </c>
      <c r="B37" s="73" t="s">
        <v>1016</v>
      </c>
      <c r="C37" s="73" t="s">
        <v>1163</v>
      </c>
      <c r="D37" s="73" t="s">
        <v>1164</v>
      </c>
      <c r="E37" s="73" t="s">
        <v>1165</v>
      </c>
      <c r="F37" s="74" t="s">
        <v>1271</v>
      </c>
    </row>
    <row r="38" spans="1:6" ht="89.1" customHeight="1">
      <c r="A38" s="70" t="s">
        <v>265</v>
      </c>
      <c r="B38" s="68" t="s">
        <v>1166</v>
      </c>
      <c r="C38" s="68" t="s">
        <v>1167</v>
      </c>
      <c r="D38" s="68" t="s">
        <v>1168</v>
      </c>
      <c r="E38" s="68" t="s">
        <v>1169</v>
      </c>
      <c r="F38" s="72" t="s">
        <v>1271</v>
      </c>
    </row>
    <row r="39" spans="1:6" ht="89.1" customHeight="1">
      <c r="A39" s="75" t="s">
        <v>1018</v>
      </c>
      <c r="B39" s="73" t="s">
        <v>1019</v>
      </c>
      <c r="C39" s="73" t="s">
        <v>1170</v>
      </c>
      <c r="D39" s="73" t="s">
        <v>1171</v>
      </c>
      <c r="E39" s="73" t="s">
        <v>1172</v>
      </c>
      <c r="F39" s="74" t="s">
        <v>1271</v>
      </c>
    </row>
    <row r="40" spans="1:6" ht="89.1" customHeight="1">
      <c r="A40" s="75" t="s">
        <v>1021</v>
      </c>
      <c r="B40" s="73" t="s">
        <v>1022</v>
      </c>
      <c r="C40" s="73" t="s">
        <v>1173</v>
      </c>
      <c r="D40" s="73" t="s">
        <v>1174</v>
      </c>
      <c r="E40" s="73" t="s">
        <v>1175</v>
      </c>
      <c r="F40" s="74" t="s">
        <v>1276</v>
      </c>
    </row>
    <row r="41" spans="1:6" ht="74.099999999999994" customHeight="1">
      <c r="A41" s="70" t="s">
        <v>904</v>
      </c>
      <c r="B41" s="68" t="s">
        <v>1176</v>
      </c>
      <c r="C41" s="68" t="s">
        <v>1177</v>
      </c>
      <c r="D41" s="68" t="s">
        <v>1178</v>
      </c>
      <c r="E41" s="68" t="s">
        <v>1179</v>
      </c>
      <c r="F41" s="72" t="s">
        <v>1271</v>
      </c>
    </row>
    <row r="42" spans="1:6" ht="104.1" customHeight="1">
      <c r="A42" s="70" t="s">
        <v>909</v>
      </c>
      <c r="B42" s="68" t="s">
        <v>1180</v>
      </c>
      <c r="C42" s="68" t="s">
        <v>1181</v>
      </c>
      <c r="D42" s="68" t="s">
        <v>1182</v>
      </c>
      <c r="E42" s="68" t="s">
        <v>1183</v>
      </c>
      <c r="F42" s="72" t="s">
        <v>1271</v>
      </c>
    </row>
    <row r="43" spans="1:6" ht="89.1" customHeight="1">
      <c r="A43" s="70" t="s">
        <v>913</v>
      </c>
      <c r="B43" s="68" t="s">
        <v>1184</v>
      </c>
      <c r="C43" s="68" t="s">
        <v>1185</v>
      </c>
      <c r="D43" s="68" t="s">
        <v>1186</v>
      </c>
      <c r="E43" s="68" t="s">
        <v>1187</v>
      </c>
      <c r="F43" s="72" t="s">
        <v>1271</v>
      </c>
    </row>
    <row r="44" spans="1:6" ht="119.1" customHeight="1">
      <c r="A44" s="70" t="s">
        <v>1188</v>
      </c>
      <c r="B44" s="68" t="s">
        <v>1189</v>
      </c>
      <c r="C44" s="68" t="s">
        <v>1190</v>
      </c>
      <c r="D44" s="68" t="s">
        <v>1191</v>
      </c>
      <c r="E44" s="68" t="s">
        <v>1192</v>
      </c>
      <c r="F44" s="72" t="s">
        <v>1275</v>
      </c>
    </row>
    <row r="45" spans="1:6" ht="74.099999999999994" customHeight="1">
      <c r="A45" s="70" t="s">
        <v>1193</v>
      </c>
      <c r="B45" s="68" t="s">
        <v>1194</v>
      </c>
      <c r="C45" s="68" t="s">
        <v>1195</v>
      </c>
      <c r="D45" s="68" t="s">
        <v>1196</v>
      </c>
      <c r="E45" s="68" t="s">
        <v>1197</v>
      </c>
      <c r="F45" s="72" t="s">
        <v>1275</v>
      </c>
    </row>
    <row r="46" spans="1:6" ht="74.099999999999994" customHeight="1">
      <c r="A46" s="70" t="s">
        <v>1198</v>
      </c>
      <c r="B46" s="68" t="s">
        <v>1199</v>
      </c>
      <c r="C46" s="68" t="s">
        <v>1200</v>
      </c>
      <c r="D46" s="68" t="s">
        <v>1201</v>
      </c>
      <c r="E46" s="68" t="s">
        <v>1202</v>
      </c>
      <c r="F46" s="72" t="s">
        <v>1275</v>
      </c>
    </row>
    <row r="47" spans="1:6" ht="89.1" customHeight="1">
      <c r="A47" s="70" t="s">
        <v>1203</v>
      </c>
      <c r="B47" s="68" t="s">
        <v>1204</v>
      </c>
      <c r="C47" s="68" t="s">
        <v>1205</v>
      </c>
      <c r="D47" s="68" t="s">
        <v>1206</v>
      </c>
      <c r="E47" s="68" t="s">
        <v>1207</v>
      </c>
      <c r="F47" s="72" t="s">
        <v>1275</v>
      </c>
    </row>
    <row r="48" spans="1:6" ht="74.099999999999994" customHeight="1">
      <c r="A48" s="70" t="s">
        <v>1208</v>
      </c>
      <c r="B48" s="68" t="s">
        <v>1209</v>
      </c>
      <c r="C48" s="68" t="s">
        <v>1210</v>
      </c>
      <c r="D48" s="68" t="s">
        <v>1211</v>
      </c>
      <c r="E48" s="68" t="s">
        <v>1212</v>
      </c>
      <c r="F48" s="72" t="s">
        <v>1275</v>
      </c>
    </row>
    <row r="49" spans="1:6" ht="89.1" customHeight="1">
      <c r="A49" s="75" t="s">
        <v>1024</v>
      </c>
      <c r="B49" s="73" t="s">
        <v>1025</v>
      </c>
      <c r="C49" s="73" t="s">
        <v>1213</v>
      </c>
      <c r="D49" s="73" t="s">
        <v>1214</v>
      </c>
      <c r="E49" s="73" t="s">
        <v>1215</v>
      </c>
      <c r="F49" s="74" t="s">
        <v>1271</v>
      </c>
    </row>
    <row r="50" spans="1:6" ht="89.1" customHeight="1">
      <c r="A50" s="70" t="s">
        <v>960</v>
      </c>
      <c r="B50" s="68" t="s">
        <v>1216</v>
      </c>
      <c r="C50" s="68" t="s">
        <v>1217</v>
      </c>
      <c r="D50" s="68" t="s">
        <v>1218</v>
      </c>
      <c r="E50" s="68" t="s">
        <v>1219</v>
      </c>
      <c r="F50" s="72" t="s">
        <v>1274</v>
      </c>
    </row>
    <row r="51" spans="1:6" ht="74.099999999999994" customHeight="1">
      <c r="A51" s="75" t="s">
        <v>967</v>
      </c>
      <c r="B51" s="73" t="s">
        <v>968</v>
      </c>
      <c r="C51" s="73" t="s">
        <v>1220</v>
      </c>
      <c r="D51" s="73" t="s">
        <v>1221</v>
      </c>
      <c r="E51" s="73" t="s">
        <v>1222</v>
      </c>
      <c r="F51" s="74" t="s">
        <v>1271</v>
      </c>
    </row>
    <row r="52" spans="1:6" ht="119.1" customHeight="1">
      <c r="A52" s="70" t="s">
        <v>916</v>
      </c>
      <c r="B52" s="68" t="s">
        <v>974</v>
      </c>
      <c r="C52" s="68" t="s">
        <v>1223</v>
      </c>
      <c r="D52" s="68" t="s">
        <v>1224</v>
      </c>
      <c r="E52" s="68" t="s">
        <v>1225</v>
      </c>
      <c r="F52" s="72" t="s">
        <v>1271</v>
      </c>
    </row>
    <row r="53" spans="1:6" ht="119.1" customHeight="1">
      <c r="A53" s="70" t="s">
        <v>979</v>
      </c>
      <c r="B53" s="68" t="s">
        <v>980</v>
      </c>
      <c r="C53" s="68" t="s">
        <v>1226</v>
      </c>
      <c r="D53" s="68" t="s">
        <v>1227</v>
      </c>
      <c r="E53" s="68" t="s">
        <v>1228</v>
      </c>
      <c r="F53" s="72" t="s">
        <v>1271</v>
      </c>
    </row>
    <row r="54" spans="1:6" ht="74.099999999999994" customHeight="1">
      <c r="A54" s="75" t="s">
        <v>1027</v>
      </c>
      <c r="B54" s="73" t="s">
        <v>1028</v>
      </c>
      <c r="C54" s="73" t="s">
        <v>1229</v>
      </c>
      <c r="D54" s="73" t="s">
        <v>1230</v>
      </c>
      <c r="E54" s="73" t="s">
        <v>1231</v>
      </c>
      <c r="F54" s="74" t="s">
        <v>1271</v>
      </c>
    </row>
    <row r="55" spans="1:6" ht="74.099999999999994" customHeight="1">
      <c r="A55" s="75" t="s">
        <v>950</v>
      </c>
      <c r="B55" s="73" t="s">
        <v>1232</v>
      </c>
      <c r="C55" s="73" t="s">
        <v>1233</v>
      </c>
      <c r="D55" s="73" t="s">
        <v>1234</v>
      </c>
      <c r="E55" s="73" t="s">
        <v>1235</v>
      </c>
      <c r="F55" s="74" t="s">
        <v>1271</v>
      </c>
    </row>
    <row r="56" spans="1:6" ht="89.1" customHeight="1">
      <c r="A56" s="75" t="s">
        <v>1029</v>
      </c>
      <c r="B56" s="73" t="s">
        <v>1030</v>
      </c>
      <c r="C56" s="73" t="s">
        <v>1236</v>
      </c>
      <c r="D56" s="73" t="s">
        <v>1237</v>
      </c>
      <c r="E56" s="73" t="s">
        <v>1238</v>
      </c>
      <c r="F56" s="74" t="s">
        <v>1271</v>
      </c>
    </row>
    <row r="57" spans="1:6" ht="104.1" customHeight="1">
      <c r="A57" s="70" t="s">
        <v>920</v>
      </c>
      <c r="B57" s="68" t="s">
        <v>1239</v>
      </c>
      <c r="C57" s="68" t="s">
        <v>1240</v>
      </c>
      <c r="D57" s="68" t="s">
        <v>1241</v>
      </c>
      <c r="E57" s="68" t="s">
        <v>1242</v>
      </c>
      <c r="F57" s="72" t="s">
        <v>1277</v>
      </c>
    </row>
    <row r="58" spans="1:6" ht="89.1" customHeight="1">
      <c r="A58" s="75" t="s">
        <v>993</v>
      </c>
      <c r="B58" s="73" t="s">
        <v>994</v>
      </c>
      <c r="C58" s="73" t="s">
        <v>1243</v>
      </c>
      <c r="D58" s="73" t="s">
        <v>1244</v>
      </c>
      <c r="E58" s="73" t="s">
        <v>1245</v>
      </c>
      <c r="F58" s="74" t="s">
        <v>1271</v>
      </c>
    </row>
    <row r="59" spans="1:6" ht="89.1" customHeight="1">
      <c r="A59" s="75" t="s">
        <v>1032</v>
      </c>
      <c r="B59" s="73" t="s">
        <v>1033</v>
      </c>
      <c r="C59" s="73" t="s">
        <v>1246</v>
      </c>
      <c r="D59" s="73" t="s">
        <v>1247</v>
      </c>
      <c r="E59" s="73" t="s">
        <v>1248</v>
      </c>
      <c r="F59" s="74" t="s">
        <v>1271</v>
      </c>
    </row>
    <row r="60" spans="1:6" ht="89.1" customHeight="1">
      <c r="A60" s="70" t="s">
        <v>985</v>
      </c>
      <c r="B60" s="68" t="s">
        <v>986</v>
      </c>
      <c r="C60" s="68" t="s">
        <v>1249</v>
      </c>
      <c r="D60" s="68" t="s">
        <v>1250</v>
      </c>
      <c r="E60" s="68" t="s">
        <v>1251</v>
      </c>
      <c r="F60" s="72" t="s">
        <v>1278</v>
      </c>
    </row>
    <row r="61" spans="1:6" ht="224.1" customHeight="1">
      <c r="A61" s="70" t="s">
        <v>170</v>
      </c>
      <c r="B61" s="68" t="s">
        <v>1252</v>
      </c>
      <c r="C61" s="68" t="s">
        <v>1253</v>
      </c>
      <c r="D61" s="68" t="s">
        <v>1254</v>
      </c>
      <c r="E61" s="68" t="s">
        <v>1255</v>
      </c>
      <c r="F61" s="72" t="s">
        <v>1279</v>
      </c>
    </row>
    <row r="62" spans="1:6" ht="89.1" customHeight="1">
      <c r="A62" s="70" t="s">
        <v>179</v>
      </c>
      <c r="B62" s="68" t="s">
        <v>1256</v>
      </c>
      <c r="C62" s="68" t="s">
        <v>1257</v>
      </c>
      <c r="D62" s="68" t="s">
        <v>1258</v>
      </c>
      <c r="E62" s="68" t="s">
        <v>1259</v>
      </c>
      <c r="F62" s="72" t="s">
        <v>1279</v>
      </c>
    </row>
    <row r="63" spans="1:6" ht="119.1" customHeight="1">
      <c r="A63" s="70" t="s">
        <v>130</v>
      </c>
      <c r="B63" s="68" t="s">
        <v>1260</v>
      </c>
      <c r="C63" s="68" t="s">
        <v>1261</v>
      </c>
      <c r="D63" s="68" t="s">
        <v>1262</v>
      </c>
      <c r="E63" s="68" t="s">
        <v>1263</v>
      </c>
      <c r="F63" s="72" t="s">
        <v>1279</v>
      </c>
    </row>
    <row r="64" spans="1:6" ht="74.099999999999994" customHeight="1">
      <c r="A64" s="70" t="s">
        <v>927</v>
      </c>
      <c r="B64" s="68" t="s">
        <v>1264</v>
      </c>
      <c r="C64" s="68" t="s">
        <v>1265</v>
      </c>
      <c r="D64" s="68" t="s">
        <v>1266</v>
      </c>
      <c r="E64" s="68" t="s">
        <v>1267</v>
      </c>
      <c r="F64" s="72" t="s">
        <v>1279</v>
      </c>
    </row>
    <row r="65" spans="1:6" ht="119.1" customHeight="1">
      <c r="A65" s="77" t="s">
        <v>1034</v>
      </c>
      <c r="B65" s="76" t="s">
        <v>1035</v>
      </c>
      <c r="C65" s="76" t="s">
        <v>1268</v>
      </c>
      <c r="D65" s="76" t="s">
        <v>1269</v>
      </c>
      <c r="E65" s="76" t="s">
        <v>1270</v>
      </c>
      <c r="F65" s="74" t="s">
        <v>1271</v>
      </c>
    </row>
  </sheetData>
  <mergeCells count="3">
    <mergeCell ref="A1:F2"/>
    <mergeCell ref="A3:F3"/>
    <mergeCell ref="A4:F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Test Results</vt:lpstr>
      <vt:lpstr>Defects</vt:lpstr>
      <vt:lpstr>Journey Summary</vt:lpstr>
      <vt:lpstr>Journey Results</vt:lpstr>
      <vt:lpstr>Journey Defects</vt:lpstr>
      <vt:lpstr>DB Evidence</vt:lpstr>
      <vt:lpstr>Complex Summary</vt:lpstr>
      <vt:lpstr>Complex Results</vt:lpstr>
      <vt:lpstr>Complex DB Evidence</vt:lpstr>
      <vt:lpstr>Multi Venue Results</vt:lpstr>
      <vt:lpstr>Multi Venue Summary</vt:lpstr>
      <vt:lpstr>Multi Venue Evidence</vt:lpstr>
      <vt:lpstr>Deferred Manual</vt:lpstr>
      <vt:lpstr>Batch E Results</vt:lpstr>
      <vt:lpstr>Manual Test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2026-07-30T14:22:30Z</dcterms:modified>
</cp:coreProperties>
</file>