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b7191b3fa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ab5efae6f242d9"/>
    <x:sheet xmlns:r="http://schemas.openxmlformats.org/officeDocument/2006/relationships" name="Results" sheetId="2" r:id="R0a7a2b9f460d432c"/>
    <x:sheet xmlns:r="http://schemas.openxmlformats.org/officeDocument/2006/relationships" name="Defects" sheetId="3" r:id="R943c05a8a93c4c58"/>
    <x:sheet xmlns:r="http://schemas.openxmlformats.org/officeDocument/2006/relationships" name="Deferred Manual" sheetId="4" r:id="R2811531dec0541ac"/>
    <x:sheet xmlns:r="http://schemas.openxmlformats.org/officeDocument/2006/relationships" name="Retest Summary" sheetId="5" r:id="R4bcc316334244184"/>
    <x:sheet xmlns:r="http://schemas.openxmlformats.org/officeDocument/2006/relationships" name="Retest Results" sheetId="6" r:id="R1fa38d9eb33444fb"/>
    <x:sheet xmlns:r="http://schemas.openxmlformats.org/officeDocument/2006/relationships" name="Retest Defects" sheetId="7" r:id="R606593c33f47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22"/>
      <x:color rgb="FFFFFFFF"/>
      <x:name val="Aptos Display"/>
    </x:font>
    <x:font>
      <x:i/>
      <x:sz val="11"/>
      <x:color rgb="FF10264A"/>
      <x:name val="Aptos"/>
    </x:font>
    <x:font>
      <x:b/>
      <x:sz val="11"/>
      <x:color rgb="FF10264A"/>
      <x:name val="Carlito"/>
    </x:font>
    <x:font>
      <x:b/>
      <x:sz val="10"/>
      <x:color rgb="FFFFFFFF"/>
      <x:name val="Aptos"/>
    </x:font>
    <x:font>
      <x:b/>
      <x:sz val="18"/>
      <x:color rgb="FF10264A"/>
      <x:name val="Carlito"/>
    </x:font>
    <x:font>
      <x:b/>
      <x:sz val="14"/>
      <x:color rgb="FF10264A"/>
      <x:name val="Carlito"/>
    </x:font>
    <x:font>
      <x:b/>
      <x:sz val="13"/>
      <x:color rgb="FFFFFFFF"/>
      <x:name val="Carlito"/>
    </x:font>
    <x:font>
      <x:b/>
      <x:sz val="10"/>
      <x:color rgb="FF10264A"/>
      <x:name val="Aptos"/>
    </x:font>
    <x:font>
      <x:i/>
      <x:sz val="10"/>
      <x:color rgb="FF10264A"/>
      <x:name val="Aptos"/>
    </x:font>
    <x:font>
      <x:sz val="10"/>
      <x:color rgb="FF10264A"/>
      <x:name val="Aptos"/>
    </x:font>
    <x:font>
      <x:b/>
      <x:sz val="13"/>
      <x:color rgb="FFFFFFFF"/>
      <x:name val="Aptos"/>
    </x:font>
    <x:font>
      <x:b/>
      <x:sz val="20"/>
      <x:color rgb="FFFFFFFF"/>
      <x:name val="Carlito"/>
    </x:font>
    <x:font>
      <x:i/>
      <x:sz val="11"/>
      <x:color rgb="FF10294D"/>
      <x:name val="Carlito"/>
    </x:font>
    <x:font>
      <x:sz val="11"/>
      <x:color rgb="FF10294D"/>
      <x:name val="Carlito"/>
    </x:font>
    <x:font>
      <x:b/>
      <x:sz val="11"/>
      <x:color rgb="FF10294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0264A"/>
      </x:patternFill>
    </x:fill>
    <x:fill>
      <x:patternFill patternType="solid">
        <x:fgColor rgb="FFFFF5D8"/>
      </x:patternFill>
    </x:fill>
    <x:fill>
      <x:patternFill patternType="solid">
        <x:fgColor rgb="FFEDF3FA"/>
      </x:patternFill>
    </x:fill>
    <x:fill>
      <x:patternFill patternType="solid">
        <x:fgColor rgb="FFFFB700"/>
      </x:patternFill>
    </x:fill>
    <x:fill>
      <x:patternFill patternType="solid">
        <x:fgColor rgb="FFE4F4EB"/>
      </x:patternFill>
    </x:fill>
    <x:fill>
      <x:patternFill patternType="solid">
        <x:fgColor rgb="FFFFF0C2"/>
      </x:patternFill>
    </x:fill>
    <x:fill>
      <x:patternFill patternType="solid">
        <x:fgColor rgb="FFFBE7E5"/>
      </x:patternFill>
    </x:fill>
    <x:fill>
      <x:patternFill patternType="solid">
        <x:fgColor rgb="FF10294D"/>
      </x:patternFill>
    </x:fill>
    <x:fill>
      <x:patternFill patternType="solid">
        <x:fgColor rgb="FFFFF4D2"/>
      </x:patternFill>
    </x:fill>
    <x:fill>
      <x:patternFill patternType="solid">
        <x:fgColor rgb="FFEAF1F8"/>
      </x:patternFill>
    </x:fill>
    <x:fill>
      <x:patternFill patternType="solid">
        <x:fgColor rgb="FFFFB800"/>
      </x:patternFill>
    </x:fill>
  </x:fills>
  <x:borders count="17">
    <x:border/>
    <x:border>
      <x:left style="thin">
        <x:color rgb="FFD6DFEC"/>
      </x:left>
      <x:top style="thin">
        <x:color rgb="FFD6DFEC"/>
      </x:top>
      <x:bottom style="thin">
        <x:color rgb="FFD6DFEC"/>
      </x:bottom>
    </x:border>
    <x:border>
      <x:top style="thin">
        <x:color rgb="FFD6DFEC"/>
      </x:top>
      <x:bottom style="thin">
        <x:color rgb="FFD6DFEC"/>
      </x:bottom>
    </x:border>
    <x:border>
      <x:right style="thin">
        <x:color rgb="FFD6DFEC"/>
      </x:right>
      <x:top style="thin">
        <x:color rgb="FFD6DFEC"/>
      </x:top>
      <x:bottom style="thin">
        <x:color rgb="FFD6DFEC"/>
      </x:bottom>
    </x:border>
    <x:border>
      <x:left style="thin">
        <x:color rgb="FFFFB700"/>
      </x:left>
      <x:top style="thin">
        <x:color rgb="FFFFB700"/>
      </x:top>
    </x:border>
    <x:border>
      <x:top style="thin">
        <x:color rgb="FFFFB700"/>
      </x:top>
    </x:border>
    <x:border>
      <x:right style="thin">
        <x:color rgb="FFFFB700"/>
      </x:right>
      <x:top style="thin">
        <x:color rgb="FFFFB700"/>
      </x:top>
    </x:border>
    <x:border>
      <x:left style="thin">
        <x:color rgb="FFFFB700"/>
      </x:left>
    </x:border>
    <x:border>
      <x:right style="thin">
        <x:color rgb="FFFFB700"/>
      </x:right>
    </x:border>
    <x:border>
      <x:left style="thin">
        <x:color rgb="FFFFB700"/>
      </x:left>
      <x:bottom style="thin">
        <x:color rgb="FFFFB700"/>
      </x:bottom>
    </x:border>
    <x:border>
      <x:bottom style="thin">
        <x:color rgb="FFFFB700"/>
      </x:bottom>
    </x:border>
    <x:border>
      <x:right style="thin">
        <x:color rgb="FFFFB700"/>
      </x:right>
      <x:bottom style="thin">
        <x:color rgb="FFFFB700"/>
      </x:bottom>
    </x:border>
    <x:border>
      <x:bottom style="thin">
        <x:color rgb="FFD6DFEC"/>
      </x:bottom>
    </x:border>
    <x:border>
      <x:top style="thin">
        <x:color rgb="FFD6DFEC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/>
    <x:xf numFmtId="0" fontId="0" fillId="3" borderId="2" xfId="0" applyNumberFormat="1" applyFont="1" applyFill="1" applyBorder="1" applyAlignment="1">
      <x:alignment vertical="top" wrapText="1"/>
    </x:xf>
    <x:xf numFmtId="0" fontId="7" fillId="2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8" fillId="2" borderId="12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/>
    <x:xf numFmtId="0" fontId="10" fillId="0" borderId="2" xfId="0" applyNumberFormat="1" applyFont="1" applyFill="1" applyBorder="1"/>
    <x:xf numFmtId="0" fontId="8" fillId="4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/>
    <x:xf numFmtId="0" fontId="10" fillId="3" borderId="2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/>
    <x:xf numFmtId="0" fontId="10" fillId="0" borderId="2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1" fillId="2" borderId="2" xfId="0" applyNumberFormat="1" applyFont="1" applyFill="1" applyBorder="1"/>
    <x:xf numFmtId="0" fontId="11" fillId="2" borderId="2" xfId="0" applyNumberFormat="1" applyFont="1" applyFill="1" applyBorder="1" applyAlignment="1">
      <x:alignment horizontal="left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12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vertical="top" wrapText="1"/>
    </x:xf>
    <x:xf numFmtId="0" fontId="10" fillId="6" borderId="12" xfId="0" applyNumberFormat="1" applyFont="1" applyFill="1" applyBorder="1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vertical="top" wrapText="1"/>
    </x:xf>
    <x:xf numFmtId="0" fontId="10" fillId="8" borderId="2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center"/>
    </x:xf>
    <x:xf numFmtId="0" fontId="15" fillId="11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vertical="center"/>
    </x:xf>
    <x:xf numFmtId="0" fontId="16" fillId="9" borderId="0" xfId="0" applyNumberFormat="1" applyFont="1" applyFill="1" applyBorder="1" applyAlignment="1">
      <x:alignment vertical="center"/>
    </x:xf>
    <x:xf numFmtId="0" fontId="16" fillId="9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vertical="top" wrapText="1"/>
    </x:xf>
    <x:xf numFmtId="0" fontId="17" fillId="9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2" fillId="9" borderId="14" xfId="0" applyNumberFormat="1" applyFont="1" applyFill="1" applyBorder="1" applyAlignment="1">
      <x:alignment vertical="center"/>
    </x:xf>
    <x:xf numFmtId="0" fontId="12" fillId="9" borderId="15" xfId="0" applyNumberFormat="1" applyFont="1" applyFill="1" applyBorder="1" applyAlignment="1">
      <x:alignment vertical="center"/>
    </x:xf>
    <x:xf numFmtId="0" fontId="13" fillId="10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/>
    <x:xf numFmtId="0" fontId="15" fillId="11" borderId="15" xfId="0" applyNumberFormat="1" applyFont="1" applyFill="1" applyBorder="1" applyAlignment="1">
      <x:alignment vertical="center"/>
    </x:xf>
    <x:xf numFmtId="0" fontId="14" fillId="0" borderId="15" xfId="0" applyNumberFormat="1" applyFont="1" applyFill="1" applyBorder="1" applyAlignment="1">
      <x:alignment vertical="center"/>
    </x:xf>
    <x:xf numFmtId="0" fontId="16" fillId="9" borderId="15" xfId="0" applyNumberFormat="1" applyFont="1" applyFill="1" applyBorder="1" applyAlignment="1">
      <x:alignment horizontal="center" vertical="center"/>
    </x:xf>
    <x:xf numFmtId="0" fontId="15" fillId="0" borderId="15" xfId="0" applyNumberFormat="1" applyFont="1" applyFill="1" applyBorder="1" applyAlignment="1">
      <x:alignment horizontal="center" vertical="center"/>
    </x:xf>
    <x:xf numFmtId="0" fontId="15" fillId="12" borderId="15" xfId="0" applyNumberFormat="1" applyFont="1" applyFill="1" applyBorder="1"/>
    <x:xf numFmtId="0" fontId="14" fillId="10" borderId="15" xfId="0" applyNumberFormat="1" applyFont="1" applyFill="1" applyBorder="1" applyAlignment="1">
      <x:alignment vertical="top" wrapText="1"/>
    </x:xf>
    <x:xf numFmtId="0" fontId="17" fillId="9" borderId="15" xfId="0" applyNumberFormat="1" applyFont="1" applyFill="1" applyBorder="1"/>
    <x:xf numFmtId="0" fontId="14" fillId="0" borderId="16" xfId="0" applyNumberFormat="1" applyFont="1" applyFill="1" applyBorder="1" applyAlignment="1">
      <x:alignment wrapText="1"/>
    </x:xf>
    <x:xf numFmtId="0" fontId="16" fillId="9" borderId="0" xfId="0" applyNumberFormat="1" applyFont="1" applyFill="1" applyBorder="1"/>
    <x:xf numFmtId="0" fontId="16" fillId="9" borderId="0" xfId="0" applyNumberFormat="1" applyFont="1" applyFill="1" applyBorder="1" applyAlignment="1">
      <x:alignment wrapText="1"/>
    </x:xf>
    <x:xf numFmtId="0" fontId="16" fillId="9" borderId="0" xfId="0" applyNumberFormat="1" applyFont="1" applyFill="1" applyBorder="1" applyAlignment="1">
      <x:alignment horizontal="center" wrapText="1"/>
    </x:xf>
    <x:xf numFmtId="0" fontId="16" fillId="9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4" xfId="0" applyNumberFormat="1" applyFont="1" applyFill="1" applyBorder="1" applyAlignment="1">
      <x:alignment vertical="top" wrapText="1"/>
    </x:xf>
    <x:xf numFmtId="0" fontId="14" fillId="0" borderId="15" xfId="0" applyNumberFormat="1" applyFont="1" applyFill="1" applyBorder="1" applyAlignment="1">
      <x:alignment vertical="top" wrapText="1"/>
    </x:xf>
    <x:xf numFmtId="0" fontId="14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E4F4EA"/>
        </x:patternFill>
      </x:fill>
    </x:dxf>
    <x:dxf>
      <x:fill>
        <x:patternFill patternType="solid">
          <x:bgColor rgb="FFD9EDF7"/>
        </x:patternFill>
      </x:fill>
    </x:dxf>
    <x:dxf>
      <x:font>
        <x:b/>
        <x:color rgb="FF166534"/>
      </x:font>
      <x:fill>
        <x:patternFill patternType="solid"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85653c5604de6" /><Relationship Type="http://schemas.openxmlformats.org/officeDocument/2006/relationships/theme" Target="/xl/theme/theme1.xml" Id="R85d69662c6ab4817" /><Relationship Type="http://schemas.openxmlformats.org/officeDocument/2006/relationships/sharedStrings" Target="/xl/sharedStrings.xml" Id="Re486d99bf57d48e9" /><Relationship Type="http://schemas.openxmlformats.org/officeDocument/2006/relationships/worksheet" Target="/xl/worksheets/sheet1.xml" Id="Redab5efae6f242d9" /><Relationship Type="http://schemas.openxmlformats.org/officeDocument/2006/relationships/worksheet" Target="/xl/worksheets/sheet2.xml" Id="R0a7a2b9f460d432c" /><Relationship Type="http://schemas.openxmlformats.org/officeDocument/2006/relationships/worksheet" Target="/xl/worksheets/sheet3.xml" Id="R943c05a8a93c4c58" /><Relationship Type="http://schemas.openxmlformats.org/officeDocument/2006/relationships/worksheet" Target="/xl/worksheets/sheet4.xml" Id="R2811531dec0541ac" /><Relationship Type="http://schemas.openxmlformats.org/officeDocument/2006/relationships/worksheet" Target="/xl/worksheets/sheet5.xml" Id="R4bcc316334244184" /><Relationship Type="http://schemas.openxmlformats.org/officeDocument/2006/relationships/worksheet" Target="/xl/worksheets/sheet6.xml" Id="R1fa38d9eb33444fb" /><Relationship Type="http://schemas.openxmlformats.org/officeDocument/2006/relationships/worksheet" Target="/xl/worksheets/sheet7.xml" Id="R606593c33f474d54" /><Relationship Type="http://schemas.microsoft.com/office/2017/10/relationships/person" Target="/xl/persons/person.xml" Id="R254b7b1d502645fa" /></Relationships>
</file>

<file path=xl/persons/person.xml><?xml version="1.0" encoding="utf-8"?>
<xltc:personList xmlns:xltc="http://schemas.microsoft.com/office/spreadsheetml/2018/threadedcomments">
  <xltc:person displayName="Ervin" id="{9D2DED15-78EC-4ACA-A91E-8431F6E15E23}"/>
</xltc:personList>
</file>

<file path=xl/tables/table1.xml><?xml version="1.0" encoding="utf-8"?>
<x:table xmlns:x="http://schemas.openxmlformats.org/spreadsheetml/2006/main" id="1" name="Group4ResultsTable" displayName="Group4ResultsTable" ref="A1:T7" headerRowCount="1" totalsRowCount="0" totalsRowShown="0">
  <x:tableColumns count="20">
    <x:tableColumn id="1" name="Run ID"/>
    <x:tableColumn id="2" name="Agent"/>
    <x:tableColumn id="3" name="Test ID"/>
    <x:tableColumn id="4" name="Area"/>
    <x:tableColumn id="5" name="Priority"/>
    <x:tableColumn id="6" name="Result"/>
    <x:tableColumn id="7" name="Device"/>
    <x:tableColumn id="8" name="Viewport"/>
    <x:tableColumn id="9" name="URL"/>
    <x:tableColumn id="10" name="Expected"/>
    <x:tableColumn id="11" name="Actual"/>
    <x:tableColumn id="12" name="UI observations"/>
    <x:tableColumn id="13" name="Evidence"/>
    <x:tableColumn id="14" name="Console/network"/>
    <x:tableColumn id="15" name="Refresh reproduction"/>
    <x:tableColumn id="16" name="Severity"/>
    <x:tableColumn id="17" name="Major blocker"/>
    <x:tableColumn id="18" name="Account/venue"/>
    <x:tableColumn id="19" name="Defect I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4DefectsTable" displayName="Group4DefectsTable" ref="A1:N4" headerRowCount="1" totalsRowCount="0" totalsRowShown="0">
  <x:tableColumns count="14">
    <x:tableColumn id="1" name="Defect ID"/>
    <x:tableColumn id="2" name="Linked tests"/>
    <x:tableColumn id="3" name="Priority"/>
    <x:tableColumn id="4" name="Status"/>
    <x:tableColumn id="5" name="Category"/>
    <x:tableColumn id="6" name="Viewports"/>
    <x:tableColumn id="7" name="Reproduction"/>
    <x:tableColumn id="8" name="Expected"/>
    <x:tableColumn id="9" name="Actual"/>
    <x:tableColumn id="10" name="Evidence"/>
    <x:tableColumn id="11" name="Root cause"/>
    <x:tableColumn id="12" name="Repair"/>
    <x:tableColumn id="13" name="Retest"/>
    <x:tableColumn id="14" name="Owner / 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oup4DeferredTable" displayName="Group4DeferredTable" ref="A1:F3" headerRowCount="1" totalsRowCount="0" totalsRowShown="0">
  <x:tableColumns count="6">
    <x:tableColumn id="1" name="Test ID"/>
    <x:tableColumn id="2" name="Disposition"/>
    <x:tableColumn id="3" name="Missing evidence / reason"/>
    <x:tableColumn id="4" name="Return trigger"/>
    <x:tableColumn id="5" name="Required viewport(s)"/>
    <x:tableColumn id="6" name="Owner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bab73847442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b79da628bf47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fa3328cd2341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5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60" t="str">
        <x:v>Little Birdee — Group 4A UAT</x:v>
      </x:c>
      <x:c r="B1" s="60"/>
      <x:c r="C1" s="60"/>
      <x:c r="D1" s="60"/>
      <x:c r="E1" s="60"/>
      <x:c r="F1" s="60"/>
      <x:c r="G1" s="60"/>
    </x:row>
    <x:row r="2" ht="34" customHeight="1">
      <x:c r="A2" s="61"/>
      <x:c r="B2" s="61"/>
      <x:c r="C2" s="61"/>
      <x:c r="D2" s="61"/>
      <x:c r="E2" s="61"/>
      <x:c r="F2" s="61"/>
      <x:c r="G2" s="61"/>
    </x:row>
    <x:row r="3" ht="22" customHeight="1">
      <x:c r="A3" s="73" t="str">
        <x:v>Launch-integrity reporting · Browser UAT · 3 August 2026</x:v>
      </x:c>
      <x:c r="B3" s="73"/>
      <x:c r="C3" s="73"/>
      <x:c r="D3" s="73"/>
      <x:c r="E3" s="73"/>
      <x:c r="F3" s="73"/>
      <x:c r="G3" s="73"/>
    </x:row>
    <x:row r="4" ht="22" customHeight="1">
      <x:c r="A4" s="74"/>
      <x:c r="B4" s="74"/>
      <x:c r="C4" s="74"/>
      <x:c r="D4" s="74"/>
      <x:c r="E4" s="74"/>
      <x:c r="F4" s="74"/>
      <x:c r="G4" s="74"/>
    </x:row>
    <x:row r="5" ht="22" customHeight="1">
      <x:c r="A5" s="75" t="str">
        <x:v>Run ID</x:v>
      </x:c>
      <x:c r="B5" s="76" t="str">
        <x:v>G4A-UAT-2026-08-03-A</x:v>
      </x:c>
      <x:c r="C5" s="74"/>
      <x:c r="D5" s="20" t="str">
        <x:v>PASS</x:v>
      </x:c>
      <x:c r="E5" s="21" t="str">
        <x:v>FAIL</x:v>
      </x:c>
      <x:c r="F5" s="21" t="str">
        <x:v>BLOCKED</x:v>
      </x:c>
      <x:c r="G5" s="22" t="str">
        <x:v>DEFERRED</x:v>
      </x:c>
    </x:row>
    <x:row r="6" ht="22" customHeight="1">
      <x:c r="A6" s="75" t="str">
        <x:v>Verdict</x:v>
      </x:c>
      <x:c r="B6" s="76" t="str">
        <x:v>NOT ACCEPTED — 3 PASS, 1 FAIL, 2 BLOCKED</x:v>
      </x:c>
      <x:c r="C6" s="74"/>
      <x:c r="D6" s="79" t="n">
        <x:f>COUNTIF('Results'!$F$2:$F$100,"PASS")</x:f>
        <x:v>3</x:v>
      </x:c>
      <x:c r="E6" s="80" t="n">
        <x:f>COUNTIF('Results'!$F$2:$F$100,"FAIL")</x:f>
        <x:v>1</x:v>
      </x:c>
      <x:c r="F6" s="80" t="n">
        <x:f>COUNTIF('Results'!$F$2:$F$100,"BLOCKED")</x:f>
        <x:v>2</x:v>
      </x:c>
      <x:c r="G6" s="80" t="n">
        <x:f>COUNTIF('Results'!$F$2:$F$100,"DEFERRED")</x:f>
        <x:v>0</x:v>
      </x:c>
    </x:row>
    <x:row r="7" ht="22" customHeight="1">
      <x:c r="A7" s="75" t="str">
        <x:v>Fixture</x:v>
      </x:c>
      <x:c r="B7" s="76" t="str">
        <x:v>Authorized UAT account / venue asdasd / week 27 Jul–2 Aug / Sunday revenue 777</x:v>
      </x:c>
      <x:c r="C7" s="74"/>
      <x:c r="D7" s="74"/>
      <x:c r="E7" s="74"/>
      <x:c r="F7" s="74"/>
      <x:c r="G7" s="74"/>
    </x:row>
    <x:row r="8" ht="22" customHeight="1">
      <x:c r="A8" s="75" t="str">
        <x:v>Browser</x:v>
      </x:c>
      <x:c r="B8" s="76" t="str">
        <x:v>Chrome connector via delegated GPT-5.6 Terra testers</x:v>
      </x:c>
      <x:c r="C8" s="74"/>
      <x:c r="D8" s="74"/>
      <x:c r="E8" s="74"/>
      <x:c r="F8" s="74"/>
      <x:c r="G8" s="74"/>
    </x:row>
    <x:row r="9" ht="22" customHeight="1">
      <x:c r="A9" s="75" t="str">
        <x:v>Independent review</x:v>
      </x:c>
      <x:c r="B9" s="76" t="str">
        <x:v>GPT-5.6 Sol evidence and live-geometry review</x:v>
      </x:c>
      <x:c r="C9" s="74"/>
      <x:c r="D9" s="74"/>
      <x:c r="E9" s="74"/>
      <x:c r="F9" s="74"/>
      <x:c r="G9" s="74"/>
    </x:row>
    <x:row r="10" ht="22" customHeight="1">
      <x:c r="A10" s="75" t="str">
        <x:v>Scope</x:v>
      </x:c>
      <x:c r="B10" s="76" t="str">
        <x:v>G4A-01 through G4A-06 across 1440x900, 1024x768, 390x844 and 390x700</x:v>
      </x:c>
      <x:c r="C10" s="74"/>
      <x:c r="D10" s="74"/>
      <x:c r="E10" s="74"/>
      <x:c r="F10" s="74"/>
      <x:c r="G10" s="74"/>
    </x:row>
    <x:row r="11" ht="22" customHeight="1">
      <x:c r="A11" s="74"/>
      <x:c r="B11" s="74"/>
      <x:c r="C11" s="74"/>
      <x:c r="D11" s="74"/>
      <x:c r="E11" s="74"/>
      <x:c r="F11" s="74"/>
      <x:c r="G11" s="74"/>
    </x:row>
    <x:row r="12" ht="22" customHeight="1">
      <x:c r="A12" s="81" t="str">
        <x:v>Acceptance conclusion</x:v>
      </x:c>
      <x:c r="B12" s="81"/>
      <x:c r="C12" s="81"/>
      <x:c r="D12" s="81"/>
      <x:c r="E12" s="81"/>
      <x:c r="F12" s="81"/>
      <x:c r="G12" s="81"/>
    </x:row>
    <x:row r="13" ht="34" customHeight="1">
      <x:c r="A13" s="82" t="str">
        <x:v>Launch-integrity guards and the completed Yesterday journey work, but Group 4A cannot close. The excluded-week Yesterday state and responsive Waiting for revenue state remain incomplete, while responsive dashboard containment fails at desktop and mobile widths. No security or data-isolation defect was confirmed.</x:v>
      </x:c>
      <x:c r="B13" s="82"/>
      <x:c r="C13" s="82"/>
      <x:c r="D13" s="82"/>
      <x:c r="E13" s="82"/>
      <x:c r="F13" s="82"/>
      <x:c r="G13" s="82"/>
    </x:row>
    <x:row r="14" ht="34" customHeight="1">
      <x:c r="A14" s="82"/>
      <x:c r="B14" s="82"/>
      <x:c r="C14" s="82"/>
      <x:c r="D14" s="82"/>
      <x:c r="E14" s="82"/>
      <x:c r="F14" s="82"/>
      <x:c r="G14" s="82"/>
    </x:row>
    <x:row r="15" ht="34" customHeight="1">
      <x:c r="A15" s="82"/>
      <x:c r="B15" s="82"/>
      <x:c r="C15" s="82"/>
      <x:c r="D15" s="82"/>
      <x:c r="E15" s="82"/>
      <x:c r="F15" s="82"/>
      <x:c r="G15" s="82"/>
    </x:row>
    <x:row r="16" ht="34" customHeight="1">
      <x:c r="A16" s="82"/>
      <x:c r="B16" s="82"/>
      <x:c r="C16" s="82"/>
      <x:c r="D16" s="82"/>
      <x:c r="E16" s="82"/>
      <x:c r="F16" s="82"/>
      <x:c r="G16" s="82"/>
    </x:row>
    <x:row r="17" ht="22" customHeight="1">
      <x:c r="A17" s="74"/>
      <x:c r="B17" s="74"/>
      <x:c r="C17" s="74"/>
      <x:c r="D17" s="74"/>
      <x:c r="E17" s="74"/>
      <x:c r="F17" s="74"/>
      <x:c r="G17" s="74"/>
    </x:row>
    <x:row r="18" ht="22" customHeight="1">
      <x:c r="A18" s="87" t="str">
        <x:v>Next batch</x:v>
      </x:c>
      <x:c r="B18" s="87"/>
      <x:c r="C18" s="87"/>
      <x:c r="D18" s="87"/>
      <x:c r="E18" s="87"/>
      <x:c r="F18" s="87"/>
      <x:c r="G18" s="87"/>
    </x:row>
    <x:row r="19" ht="30" customHeight="1">
      <x:c r="A19" s="84" t="str">
        <x:v>Repair the three G4A-05 containment defects. Then create dedicated included/excluded-week fixtures, capture Waiting for revenue before mutation at all four viewports, rerun the completed Yesterday journey including What If, and regress all unsupported direct-period URLs with URL-bearing evidence.</x:v>
      </x:c>
      <x:c r="B19" s="84"/>
      <x:c r="C19" s="84"/>
      <x:c r="D19" s="84"/>
      <x:c r="E19" s="84"/>
      <x:c r="F19" s="84"/>
      <x:c r="G19" s="84"/>
    </x:row>
    <x:row r="20" ht="30" customHeight="1">
      <x:c r="A20" s="84"/>
      <x:c r="B20" s="84"/>
      <x:c r="C20" s="84"/>
      <x:c r="D20" s="84"/>
      <x:c r="E20" s="84"/>
      <x:c r="F20" s="84"/>
      <x:c r="G20" s="84"/>
    </x:row>
    <x:row r="21" ht="30" customHeight="1">
      <x:c r="A21" s="85"/>
      <x:c r="B21" s="85"/>
      <x:c r="C21" s="85"/>
      <x:c r="D21" s="85"/>
      <x:c r="E21" s="85"/>
      <x:c r="F21" s="85"/>
      <x:c r="G21" s="85"/>
    </x:row>
  </x:sheetData>
  <x:mergeCells>
    <x:mergeCell ref="A1:G2"/>
    <x:mergeCell ref="A3:G3"/>
    <x:mergeCell ref="A12:G12"/>
    <x:mergeCell ref="A13:G16"/>
    <x:mergeCell ref="A18:G18"/>
    <x:mergeCell ref="A19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4" hidden="0" customWidth="1"/>
  </x:cols>
  <x:sheetData>
    <x:row r="1">
      <x:c r="A1" s="20" t="str">
        <x:v>Run ID</x:v>
      </x:c>
      <x:c r="B1" s="21" t="str">
        <x:v>Agent</x:v>
      </x:c>
      <x:c r="C1" s="21" t="str">
        <x:v>Test ID</x:v>
      </x:c>
      <x:c r="D1" s="21" t="str">
        <x:v>Area</x:v>
      </x:c>
      <x:c r="E1" s="21" t="str">
        <x:v>Priority</x:v>
      </x:c>
      <x:c r="F1" s="21" t="str">
        <x:v>Result</x:v>
      </x:c>
      <x:c r="G1" s="21" t="str">
        <x:v>Device</x:v>
      </x:c>
      <x:c r="H1" s="21" t="str">
        <x:v>Viewport</x:v>
      </x:c>
      <x:c r="I1" s="21" t="str">
        <x:v>URL</x:v>
      </x:c>
      <x:c r="J1" s="21" t="str">
        <x:v>Expected</x:v>
      </x:c>
      <x:c r="K1" s="21" t="str">
        <x:v>Actual</x:v>
      </x:c>
      <x:c r="L1" s="21" t="str">
        <x:v>UI observations</x:v>
      </x:c>
      <x:c r="M1" s="21" t="str">
        <x:v>Evidence</x:v>
      </x:c>
      <x:c r="N1" s="21" t="str">
        <x:v>Console/network</x:v>
      </x:c>
      <x:c r="O1" s="21" t="str">
        <x:v>Refresh reproduction</x:v>
      </x:c>
      <x:c r="P1" s="21" t="str">
        <x:v>Severity</x:v>
      </x:c>
      <x:c r="Q1" s="21" t="str">
        <x:v>Major blocker</x:v>
      </x:c>
      <x:c r="R1" s="21" t="str">
        <x:v>Account/venue</x:v>
      </x:c>
      <x:c r="S1" s="21" t="str">
        <x:v>Defect ID</x:v>
      </x:c>
      <x:c r="T1" s="22" t="str">
        <x:v>Notes</x:v>
      </x:c>
    </x:row>
    <x:row r="2">
      <x:c r="A2" s="94" t="str">
        <x:v>G4A-UAT-2026-08-03-A</x:v>
      </x:c>
      <x:c r="B2" s="94" t="str">
        <x:v>Terra execution + Sol review</x:v>
      </x:c>
      <x:c r="C2" s="94" t="str">
        <x:v>G4A-01</x:v>
      </x:c>
      <x:c r="D2" s="94" t="str">
        <x:v>Unsupported reporting periods</x:v>
      </x:c>
      <x:c r="E2" s="94" t="str">
        <x:v>P0</x:v>
      </x:c>
      <x:c r="F2" s="95" t="str">
        <x:v>PASS</x:v>
      </x:c>
      <x:c r="G2" s="94" t="str">
        <x:v>Responsive browser</x:v>
      </x:c>
      <x:c r="H2" s="94" t="str">
        <x:v>1440x900; 1024x768; 390x844; 390x700</x:v>
      </x:c>
      <x:c r="I2" s="94" t="str">
        <x:v>/app?period=last-week|next-week|month|custom</x:v>
      </x:c>
      <x:c r="J2" s="94" t="str">
        <x:v>Unsupported periods are disabled and direct URLs do not expose demo figures.</x:v>
      </x:c>
      <x:c r="K2" s="94" t="str">
        <x:v>Last Week, Next Week, Month and Custom were disabled; guarded URLs visibly rendered This Week without demo figures.</x:v>
      </x:c>
      <x:c r="L2" s="94" t="str">
        <x:v>Disabled labels and mobile active-period control remained readable; direct-URL screenshot evidence is weaker than the browser observations.</x:v>
      </x:c>
      <x:c r="M2" s="94" t="str">
        <x:v>journey/G4A-02-03-missing-yesterday-desktop.png; desktop-medium/guarded-custom-url-1440x900.png; mobile-short/G4A-this-week-390x844.png</x:v>
      </x:c>
      <x:c r="N2" s="94" t="str">
        <x:v>No relevant application errors.</x:v>
      </x:c>
      <x:c r="O2" s="94" t="str">
        <x:v>Yes</x:v>
      </x:c>
      <x:c r="P2" s="94" t="str">
        <x:v>None</x:v>
      </x:c>
      <x:c r="Q2" s="94" t="str">
        <x:v>No</x:v>
      </x:c>
      <x:c r="R2" s="94" t="str">
        <x:v>Authorized UAT fixture / asdasd</x:v>
      </x:c>
      <x:c r="S2" s="94"/>
      <x:c r="T2" s="94" t="str">
        <x:v>PASS. Retain URL-bearing evidence during regression because screenshots omit the browser address bar.</x:v>
      </x:c>
    </x:row>
    <x:row r="3">
      <x:c r="A3" s="84" t="str">
        <x:v>G4A-UAT-2026-08-03-A</x:v>
      </x:c>
      <x:c r="B3" s="84" t="str">
        <x:v>Terra execution + Sol review</x:v>
      </x:c>
      <x:c r="C3" s="84" t="str">
        <x:v>G4A-02</x:v>
      </x:c>
      <x:c r="D3" s="84" t="str">
        <x:v>Yesterday date semantics</x:v>
      </x:c>
      <x:c r="E3" s="84" t="str">
        <x:v>P0</x:v>
      </x:c>
      <x:c r="F3" s="96" t="str">
        <x:v>BLOCKED</x:v>
      </x:c>
      <x:c r="G3" s="84" t="str">
        <x:v>Responsive browser</x:v>
      </x:c>
      <x:c r="H3" s="84" t="str">
        <x:v>1440x900; 1024x768; 390x844; 390x700</x:v>
      </x:c>
      <x:c r="I3" s="84" t="str">
        <x:v>/app?period=yesterday</x:v>
      </x:c>
      <x:c r="J3" s="84" t="str">
        <x:v>Yesterday is available only when the loaded saved week contains the real yesterday date.</x:v>
      </x:c>
      <x:c r="K3" s="84" t="str">
        <x:v>Included-week state passed: Yesterday truthfully mapped to Sunday 2 August. No saved-week fixture excluding yesterday was exercised.</x:v>
      </x:c>
      <x:c r="L3" s="84" t="str">
        <x:v>Available Yesterday date and selected state were clear at inspected viewports.</x:v>
      </x:c>
      <x:c r="M3" s="84" t="str">
        <x:v>journey/G4A-02-03-missing-yesterday-desktop.png; mobile-short/G4A-yesterday-completed-390x844.png</x:v>
      </x:c>
      <x:c r="N3" s="84" t="str">
        <x:v>No relevant application errors.</x:v>
      </x:c>
      <x:c r="O3" s="84" t="str">
        <x:v>Included state yes; excluded state not run</x:v>
      </x:c>
      <x:c r="P3" s="84" t="str">
        <x:v>Test-data blocker</x:v>
      </x:c>
      <x:c r="Q3" s="84" t="str">
        <x:v>Acceptance blocker, not a confirmed defect</x:v>
      </x:c>
      <x:c r="R3" s="84" t="str">
        <x:v>Authorized UAT fixture / asdasd</x:v>
      </x:c>
      <x:c r="S3" s="84"/>
      <x:c r="T3" s="84" t="str">
        <x:v>BLOCKED. Create a dedicated excluded-week fixture; unit coverage does not replace the browser case.</x:v>
      </x:c>
    </x:row>
    <x:row r="4">
      <x:c r="A4" s="84" t="str">
        <x:v>G4A-UAT-2026-08-03-A</x:v>
      </x:c>
      <x:c r="B4" s="84" t="str">
        <x:v>Terra execution + Sol review</x:v>
      </x:c>
      <x:c r="C4" s="84" t="str">
        <x:v>G4A-03</x:v>
      </x:c>
      <x:c r="D4" s="84" t="str">
        <x:v>Missing Yesterday revenue</x:v>
      </x:c>
      <x:c r="E4" s="84" t="str">
        <x:v>P0</x:v>
      </x:c>
      <x:c r="F4" s="96" t="str">
        <x:v>BLOCKED</x:v>
      </x:c>
      <x:c r="G4" s="84" t="str">
        <x:v>Responsive browser</x:v>
      </x:c>
      <x:c r="H4" s="84" t="str">
        <x:v>1440x900 completed; 1024x768 and mobile not run</x:v>
      </x:c>
      <x:c r="I4" s="84" t="str">
        <x:v>/app?period=yesterday</x:v>
      </x:c>
      <x:c r="J4" s="84" t="str">
        <x:v>Missing revenue shows Waiting for revenue and the daily-entry CTA without completed-result actions.</x:v>
      </x:c>
      <x:c r="K4" s="84" t="str">
        <x:v>The 1440x900 state passed before mutation. Responsive evidence was not captured before Sunday revenue was saved for G4A-04.</x:v>
      </x:c>
      <x:c r="L4" s="84" t="str">
        <x:v>Desktop empty-state hierarchy was clear; medium and mobile empty-state layouts remain unverified.</x:v>
      </x:c>
      <x:c r="M4" s="84" t="str">
        <x:v>journey/G4A-03-waiting-for-revenue-desktop.png</x:v>
      </x:c>
      <x:c r="N4" s="84" t="str">
        <x:v>No relevant application errors in the observed state.</x:v>
      </x:c>
      <x:c r="O4" s="84" t="str">
        <x:v>Not run after fixture mutation</x:v>
      </x:c>
      <x:c r="P4" s="84" t="str">
        <x:v>Evidence blocker</x:v>
      </x:c>
      <x:c r="Q4" s="84" t="str">
        <x:v>Acceptance blocker, not a confirmed defect</x:v>
      </x:c>
      <x:c r="R4" s="84" t="str">
        <x:v>Authorized UAT fixture / asdasd</x:v>
      </x:c>
      <x:c r="S4" s="84"/>
      <x:c r="T4" s="84" t="str">
        <x:v>BLOCKED. Capture the missing state at all four viewports before entering revenue.</x:v>
      </x:c>
    </x:row>
    <x:row r="5">
      <x:c r="A5" s="84" t="str">
        <x:v>G4A-UAT-2026-08-03-A</x:v>
      </x:c>
      <x:c r="B5" s="84" t="str">
        <x:v>Terra execution + Sol review</x:v>
      </x:c>
      <x:c r="C5" s="84" t="str">
        <x:v>G4A-04</x:v>
      </x:c>
      <x:c r="D5" s="84" t="str">
        <x:v>Completed Yesterday persistence</x:v>
      </x:c>
      <x:c r="E5" s="84" t="str">
        <x:v>P0</x:v>
      </x:c>
      <x:c r="F5" s="97" t="str">
        <x:v>PASS</x:v>
      </x:c>
      <x:c r="G5" s="84" t="str">
        <x:v>Responsive browser</x:v>
      </x:c>
      <x:c r="H5" s="84" t="str">
        <x:v>1440x900; 1024x768; 390x844; 390x700</x:v>
      </x:c>
      <x:c r="I5" s="84" t="str">
        <x:v>/app?period=yesterday</x:v>
      </x:c>
      <x:c r="J5" s="84" t="str">
        <x:v>Saved Yesterday result and child views persist and use the saved revision.</x:v>
      </x:c>
      <x:c r="K5" s="84" t="str">
        <x:v>Revenue 777 persisted as +$436 estimated profit, +$214 budget and +$222 ahead; What Happened and Full Numbers reconciled after refresh/revisit.</x:v>
      </x:c>
      <x:c r="L5" s="84" t="str">
        <x:v>Completed-result actions were usable at all required widths. No retained What If screenshot was saved.</x:v>
      </x:c>
      <x:c r="M5" s="84" t="str">
        <x:v>journey/G4A-04-saved-yesterday-refresh-desktop.png; journey/G4A-04-full-numbers-saved-revision-desktop.png; mobile-short/G4A-yesterday-completed-390x844.png</x:v>
      </x:c>
      <x:c r="N5" s="84" t="str">
        <x:v>No relevant application errors; generic extension listener messages excluded.</x:v>
      </x:c>
      <x:c r="O5" s="84" t="str">
        <x:v>Yes</x:v>
      </x:c>
      <x:c r="P5" s="84" t="str">
        <x:v>None</x:v>
      </x:c>
      <x:c r="Q5" s="84" t="str">
        <x:v>No</x:v>
      </x:c>
      <x:c r="R5" s="84" t="str">
        <x:v>Authorized UAT fixture / asdasd</x:v>
      </x:c>
      <x:c r="S5" s="84"/>
      <x:c r="T5" s="84" t="str">
        <x:v>PASS. Retain a What If baseline screenshot and unique refresh evidence on regression.</x:v>
      </x:c>
    </x:row>
    <x:row r="6">
      <x:c r="A6" s="84" t="str">
        <x:v>G4A-UAT-2026-08-03-A</x:v>
      </x:c>
      <x:c r="B6" s="84" t="str">
        <x:v>Terra execution + Sol review</x:v>
      </x:c>
      <x:c r="C6" s="84" t="str">
        <x:v>G4A-05</x:v>
      </x:c>
      <x:c r="D6" s="84" t="str">
        <x:v>Responsive period dashboard</x:v>
      </x:c>
      <x:c r="E6" s="84" t="str">
        <x:v>P1</x:v>
      </x:c>
      <x:c r="F6" s="98" t="str">
        <x:v>FAIL</x:v>
      </x:c>
      <x:c r="G6" s="84" t="str">
        <x:v>Responsive browser</x:v>
      </x:c>
      <x:c r="H6" s="84" t="str">
        <x:v>1440x900; 1024x768; 390x844; 390x700</x:v>
      </x:c>
      <x:c r="I6" s="84" t="str">
        <x:v>/app?period=this-week; /app?period=yesterday</x:v>
      </x:c>
      <x:c r="J6" s="84" t="str">
        <x:v>Navigation and dashboard content remain usable with no clipping or horizontal overflow.</x:v>
      </x:c>
      <x:c r="K6" s="84" t="str">
        <x:v>1440 weekly content lacks vertical containment, the selected Sunday breakdown clips at the rail edge, and both 390px dashboard containers have internal horizontal overflow.</x:v>
      </x:c>
      <x:c r="L6" s="84" t="str">
        <x:v>1024 and mobile can scroll vertically; prior no-scroll claims were rejected. Mobile period-arrow logic itself passed.</x:v>
      </x:c>
      <x:c r="M6" s="84" t="str">
        <x:v>desktop-medium/this-week-1440x900.png; mobile-short/G4A-this-week-390x844.png; mobile-short/G4A-this-week-390x700.png</x:v>
      </x:c>
      <x:c r="N6" s="84" t="str">
        <x:v>No relevant application errors.</x:v>
      </x:c>
      <x:c r="O6" s="84" t="str">
        <x:v>Yes</x:v>
      </x:c>
      <x:c r="P6" s="84" t="str">
        <x:v>Major responsive acceptance failure</x:v>
      </x:c>
      <x:c r="Q6" s="84" t="str">
        <x:v>No security blocker; yes for Group 4A acceptance</x:v>
      </x:c>
      <x:c r="R6" s="84" t="str">
        <x:v>Authorized UAT fixture / asdasd</x:v>
      </x:c>
      <x:c r="S6" s="84" t="str">
        <x:v>G4A-05-DESKTOP-VERTICAL-CONTAINMENT; G4A-05-DESKTOP-POPOVER-CONTAINMENT; G4A-05-MOBILE-HORIZONTAL-OVERFLOW</x:v>
      </x:c>
      <x:c r="T6" s="84" t="str">
        <x:v>FAIL. Three confirmed containment defects; fix without redesign and rerun the full viewport matrix.</x:v>
      </x:c>
    </x:row>
    <x:row r="7">
      <x:c r="A7" s="85" t="str">
        <x:v>G4A-UAT-2026-08-03-A</x:v>
      </x:c>
      <x:c r="B7" s="85" t="str">
        <x:v>Terra execution + Sol review</x:v>
      </x:c>
      <x:c r="C7" s="85" t="str">
        <x:v>G4A-06</x:v>
      </x:c>
      <x:c r="D7" s="85" t="str">
        <x:v>Demo-data reachability</x:v>
      </x:c>
      <x:c r="E7" s="85" t="str">
        <x:v>P0</x:v>
      </x:c>
      <x:c r="F7" s="99" t="str">
        <x:v>PASS</x:v>
      </x:c>
      <x:c r="G7" s="85" t="str">
        <x:v>Responsive browser</x:v>
      </x:c>
      <x:c r="H7" s="85" t="str">
        <x:v>1440x900; 1024x768; 390x844; 390x700</x:v>
      </x:c>
      <x:c r="I7" s="85" t="str">
        <x:v>/app?period=this-week|custom</x:v>
      </x:c>
      <x:c r="J7" s="85" t="str">
        <x:v>No demo history, June 2026 values or unowned completed period is reachable.</x:v>
      </x:c>
      <x:c r="K7" s="85" t="str">
        <x:v>No Demo history, June 2026 seeded result or unsupported completed period was reachable through launch navigation or guarded Custom URL.</x:v>
      </x:c>
      <x:c r="L7" s="85" t="str">
        <x:v>No demo/history indication appeared in the inspected responsive states.</x:v>
      </x:c>
      <x:c r="M7" s="85" t="str">
        <x:v>desktop-medium/guarded-custom-url-1440x900.png; mobile-short/G4A-this-week-390x844.png</x:v>
      </x:c>
      <x:c r="N7" s="85" t="str">
        <x:v>No relevant application errors.</x:v>
      </x:c>
      <x:c r="O7" s="85" t="str">
        <x:v>Yes</x:v>
      </x:c>
      <x:c r="P7" s="85" t="str">
        <x:v>None</x:v>
      </x:c>
      <x:c r="Q7" s="85" t="str">
        <x:v>No</x:v>
      </x:c>
      <x:c r="R7" s="85" t="str">
        <x:v>Authorized UAT fixture / asdasd</x:v>
      </x:c>
      <x:c r="S7" s="85"/>
      <x:c r="T7" s="85" t="str">
        <x:v>PASS. Central guard plus live spot-check sustain the result; keep URL-bearing evidence on retest.</x:v>
      </x:c>
    </x:row>
  </x:sheetData>
  <x:pageMargins left="0.7" right="0.7" top="0.75" bottom="0.75" header="0.3" footer="0.3"/>
  <x:tableParts count="1">
    <x:tablePart xmlns:r="http://schemas.openxmlformats.org/officeDocument/2006/relationships" r:id="Rf31bab73847442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>
      <x:c r="A1" s="20" t="str">
        <x:v>Defect ID</x:v>
      </x:c>
      <x:c r="B1" s="21" t="str">
        <x:v>Linked tests</x:v>
      </x:c>
      <x:c r="C1" s="21" t="str">
        <x:v>Priority</x:v>
      </x:c>
      <x:c r="D1" s="21" t="str">
        <x:v>Status</x:v>
      </x:c>
      <x:c r="E1" s="21" t="str">
        <x:v>Category</x:v>
      </x:c>
      <x:c r="F1" s="21" t="str">
        <x:v>Viewports</x:v>
      </x:c>
      <x:c r="G1" s="21" t="str">
        <x:v>Reproduction</x:v>
      </x:c>
      <x:c r="H1" s="21" t="str">
        <x:v>Expected</x:v>
      </x:c>
      <x:c r="I1" s="21" t="str">
        <x:v>Actual</x:v>
      </x:c>
      <x:c r="J1" s="21" t="str">
        <x:v>Evidence</x:v>
      </x:c>
      <x:c r="K1" s="21" t="str">
        <x:v>Root cause</x:v>
      </x:c>
      <x:c r="L1" s="21" t="str">
        <x:v>Repair</x:v>
      </x:c>
      <x:c r="M1" s="21" t="str">
        <x:v>Retest</x:v>
      </x:c>
      <x:c r="N1" s="22" t="str">
        <x:v>Owner / next action</x:v>
      </x:c>
    </x:row>
    <x:row r="2">
      <x:c r="A2" s="94" t="str">
        <x:v>G4A-05-DESKTOP-VERTICAL-CONTAINMENT</x:v>
      </x:c>
      <x:c r="B2" s="94" t="str">
        <x:v>G4A-05</x:v>
      </x:c>
      <x:c r="C2" s="94" t="str">
        <x:v>P1</x:v>
      </x:c>
      <x:c r="D2" s="94" t="str">
        <x:v>Open</x:v>
      </x:c>
      <x:c r="E2" s="94" t="str">
        <x:v>Responsive layout — vertical containment</x:v>
      </x:c>
      <x:c r="F2" s="94" t="str">
        <x:v>1440x900</x:v>
      </x:c>
      <x:c r="G2" s="94" t="str">
        <x:v>Open This Week at 1440x900 and select Sunday. Inspect the weekly section and See all numbers disclosure.</x:v>
      </x:c>
      <x:c r="H2" s="94" t="str">
        <x:v>All selected-day and disclosure content is reachable within the dashboard scroll model.</x:v>
      </x:c>
      <x:c r="I2" s="94" t="str">
        <x:v>Dashboard content extends below the viewport while overflow is hidden, leaving the weekly footer and disclosure unreachable.</x:v>
      </x:c>
      <x:c r="J2" s="94" t="str">
        <x:v>desktop-medium/this-week-1440x900.png</x:v>
      </x:c>
      <x:c r="K2" s="94" t="str">
        <x:v>.dashboard-view overflow/height rules conflict with the taller selected-day weekly state.</x:v>
      </x:c>
      <x:c r="L2" s="94" t="str">
        <x:v>Smallest likely boundary: scoreboard.css .dashboard-view, .scoreboard-screen, .week-progress and desktop short-height rules.</x:v>
      </x:c>
      <x:c r="M2" s="94" t="str">
        <x:v>1440x900 This Week with Sunday selected; confirm vertical reachability and no new horizontal overflow.</x:v>
      </x:c>
      <x:c r="N2" s="94" t="str">
        <x:v>Engineering — targeted CSS containment repair; preserve existing visual design.</x:v>
      </x:c>
    </x:row>
    <x:row r="3">
      <x:c r="A3" s="84" t="str">
        <x:v>G4A-05-DESKTOP-POPOVER-CONTAINMENT</x:v>
      </x:c>
      <x:c r="B3" s="84" t="str">
        <x:v>G4A-05</x:v>
      </x:c>
      <x:c r="C3" s="84" t="str">
        <x:v>P1</x:v>
      </x:c>
      <x:c r="D3" s="84" t="str">
        <x:v>Open</x:v>
      </x:c>
      <x:c r="E3" s="84" t="str">
        <x:v>Responsive layout — day rail popover</x:v>
      </x:c>
      <x:c r="F3" s="84" t="str">
        <x:v>1440x900</x:v>
      </x:c>
      <x:c r="G3" s="84" t="str">
        <x:v>Open This Week at 1440x900 and select the final Sunday stop.</x:v>
      </x:c>
      <x:c r="H3" s="84" t="str">
        <x:v>The selected-day breakdown remains fully inside the day-rail scrollport.</x:v>
      </x:c>
      <x:c r="I3" s="84" t="str">
        <x:v>The Sunday breakdown extends past the rail boundary and its numeric values are visibly truncated.</x:v>
      </x:c>
      <x:c r="J3" s="84" t="str">
        <x:v>desktop-medium/this-week-1440x900.png</x:v>
      </x:c>
      <x:c r="K3" s="84" t="str">
        <x:v>Last selected DayRail item is not repositioned or aligned away from the rail edge.</x:v>
      </x:c>
      <x:c r="L3" s="84" t="str">
        <x:v>Smallest likely boundary: scoreboard.css .day-rail and final selected .day-flight-breakdown positioning/alignment.</x:v>
      </x:c>
      <x:c r="M3" s="84" t="str">
        <x:v>1440x900 and 1024x768 with first and last day selected; verify full popover containment.</x:v>
      </x:c>
      <x:c r="N3" s="84" t="str">
        <x:v>Engineering — edge-aware DayRail positioning without redesign.</x:v>
      </x:c>
    </x:row>
    <x:row r="4">
      <x:c r="A4" s="85" t="str">
        <x:v>G4A-05-MOBILE-HORIZONTAL-OVERFLOW</x:v>
      </x:c>
      <x:c r="B4" s="85" t="str">
        <x:v>G4A-05</x:v>
      </x:c>
      <x:c r="C4" s="85" t="str">
        <x:v>P2</x:v>
      </x:c>
      <x:c r="D4" s="85" t="str">
        <x:v>Open</x:v>
      </x:c>
      <x:c r="E4" s="85" t="str">
        <x:v>Responsive layout — internal horizontal overflow</x:v>
      </x:c>
      <x:c r="F4" s="85" t="str">
        <x:v>390x844; 390x700</x:v>
      </x:c>
      <x:c r="G4" s="85" t="str">
        <x:v>Open This Week at either 390px viewport and inspect the dashboard's horizontal scrollbar/scroll geometry.</x:v>
      </x:c>
      <x:c r="H4" s="85" t="str">
        <x:v>Dashboard client width equals scroll width and no sideways scrolling is possible.</x:v>
      </x:c>
      <x:c r="I4" s="85" t="str">
        <x:v>Dashboard client width is 375px while scroll width is 403px; retained images show an internal horizontal scrollbar.</x:v>
      </x:c>
      <x:c r="J4" s="85" t="str">
        <x:v>mobile-short/G4A-this-week-390x844.png; mobile-short/G4A-this-week-390x700.png</x:v>
      </x:c>
      <x:c r="K4" s="85" t="str">
        <x:v>A mobile dashboard child or pseudo-element exceeds the scroll container width and x-axis containment is missing.</x:v>
      </x:c>
      <x:c r="L4" s="85" t="str">
        <x:v>Clamp offending mobile geometry and explicitly contain the dashboard x-axis in scoreboard.css.</x:v>
      </x:c>
      <x:c r="M4" s="85" t="str">
        <x:v>390x844 and 390x700 for This Week and Yesterday; assert zero internal/document horizontal overflow.</x:v>
      </x:c>
      <x:c r="N4" s="85" t="str">
        <x:v>Engineering — targeted mobile overflow repair.</x:v>
      </x:c>
    </x:row>
  </x:sheetData>
  <x:pageMargins left="0.7" right="0.7" top="0.75" bottom="0.75" header="0.3" footer="0.3"/>
  <x:tableParts count="1">
    <x:tablePart xmlns:r="http://schemas.openxmlformats.org/officeDocument/2006/relationships" r:id="Rc9b79da628bf47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46" hidden="0" customWidth="1"/>
    <x:col min="4" max="4" width="46" hidden="0" customWidth="1"/>
    <x:col min="5" max="5" width="26" hidden="0" customWidth="1"/>
    <x:col min="6" max="6" width="26" hidden="0" customWidth="1"/>
  </x:cols>
  <x:sheetData>
    <x:row r="1">
      <x:c r="A1" s="20" t="str">
        <x:v>Test ID</x:v>
      </x:c>
      <x:c r="B1" s="21" t="str">
        <x:v>Disposition</x:v>
      </x:c>
      <x:c r="C1" s="21" t="str">
        <x:v>Missing evidence / reason</x:v>
      </x:c>
      <x:c r="D1" s="21" t="str">
        <x:v>Return trigger</x:v>
      </x:c>
      <x:c r="E1" s="21" t="str">
        <x:v>Required viewport(s)</x:v>
      </x:c>
      <x:c r="F1" s="22" t="str">
        <x:v>Owner / next action</x:v>
      </x:c>
    </x:row>
    <x:row r="2">
      <x:c r="A2" s="94" t="str">
        <x:v>G4A-02</x:v>
      </x:c>
      <x:c r="B2" s="94" t="str">
        <x:v>BLOCKED</x:v>
      </x:c>
      <x:c r="C2" s="94" t="str">
        <x:v>No saved-week browser fixture excluding the real yesterday date was available without replacing the established record.</x:v>
      </x:c>
      <x:c r="D2" s="94" t="str">
        <x:v>Create a dedicated excluded-week fixture, then verify Yesterday is unavailable and no loaded day is relabelled.</x:v>
      </x:c>
      <x:c r="E2" s="94" t="str">
        <x:v>1440x900; 1024x768; 390x844; 390x700</x:v>
      </x:c>
      <x:c r="F2" s="94" t="str">
        <x:v>Test orchestration — prepare included/excluded fixtures before rerun.</x:v>
      </x:c>
    </x:row>
    <x:row r="3">
      <x:c r="A3" s="85" t="str">
        <x:v>G4A-03</x:v>
      </x:c>
      <x:c r="B3" s="85" t="str">
        <x:v>BLOCKED</x:v>
      </x:c>
      <x:c r="C3" s="85" t="str">
        <x:v>The missing-revenue state was captured only at 1440x900 before the fixture was mutated for G4A-04.</x:v>
      </x:c>
      <x:c r="D3" s="85" t="str">
        <x:v>Use a fresh missing-revenue fixture and capture Waiting for revenue before saving the daily revision.</x:v>
      </x:c>
      <x:c r="E3" s="85" t="str">
        <x:v>1024x768; 390x844; 390x700 (repeat 1440x900 for one coherent run)</x:v>
      </x:c>
      <x:c r="F3" s="85" t="str">
        <x:v>Test orchestration — run G4A-03 before G4A-04.</x:v>
      </x:c>
    </x:row>
  </x:sheetData>
  <x:pageMargins left="0.7" right="0.7" top="0.75" bottom="0.75" header="0.3" footer="0.3"/>
  <x:tableParts count="1">
    <x:tablePart xmlns:r="http://schemas.openxmlformats.org/officeDocument/2006/relationships" r:id="Re2fa3328cd2341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4" customHeight="1">
      <x:c r="A1" s="122" t="str">
        <x:v>Little Birdee — Group 4A Retest</x:v>
      </x:c>
      <x:c r="B1" s="122"/>
      <x:c r="C1" s="122"/>
      <x:c r="D1" s="122"/>
      <x:c r="E1" s="122"/>
      <x:c r="F1" s="122"/>
      <x:c r="G1" s="122"/>
    </x:row>
    <x:row r="2" ht="34" customHeight="1">
      <x:c r="A2" s="123"/>
      <x:c r="B2" s="123"/>
      <x:c r="C2" s="123"/>
      <x:c r="D2" s="123"/>
      <x:c r="E2" s="123"/>
      <x:c r="F2" s="123"/>
      <x:c r="G2" s="123"/>
    </x:row>
    <x:row r="3" ht="22" customHeight="1">
      <x:c r="A3" s="124" t="str">
        <x:v>Launch-integrity reporting · Browser UAT retest · 3 August 2026</x:v>
      </x:c>
      <x:c r="B3" s="124"/>
      <x:c r="C3" s="124"/>
      <x:c r="D3" s="124"/>
      <x:c r="E3" s="124"/>
      <x:c r="F3" s="124"/>
      <x:c r="G3" s="124"/>
    </x:row>
    <x:row r="4" ht="22" customHeight="1">
      <x:c r="A4" s="125"/>
      <x:c r="B4" s="125"/>
      <x:c r="C4" s="125"/>
      <x:c r="D4" s="125"/>
      <x:c r="E4" s="125"/>
      <x:c r="F4" s="125"/>
      <x:c r="G4" s="125"/>
    </x:row>
    <x:row r="5" ht="22" customHeight="1">
      <x:c r="A5" s="126" t="str">
        <x:v>Run ID</x:v>
      </x:c>
      <x:c r="B5" s="127" t="str">
        <x:v>G4A-UAT-2026-08-03-B</x:v>
      </x:c>
      <x:c r="C5" s="127"/>
      <x:c r="D5" s="128" t="str">
        <x:v>PASS</x:v>
      </x:c>
      <x:c r="E5" s="128" t="str">
        <x:v>FAIL</x:v>
      </x:c>
      <x:c r="F5" s="128" t="str">
        <x:v>BLOCKED</x:v>
      </x:c>
      <x:c r="G5" s="128" t="str">
        <x:v>DEFERRED</x:v>
      </x:c>
    </x:row>
    <x:row r="6" ht="22" customHeight="1">
      <x:c r="A6" s="126" t="str">
        <x:v>Verdict</x:v>
      </x:c>
      <x:c r="B6" s="127" t="str">
        <x:v>ACCEPTED — 6 PASS, 0 FAIL, 0 BLOCKED</x:v>
      </x:c>
      <x:c r="C6" s="127"/>
      <x:c r="D6" s="129" t="n">
        <x:f>COUNTIF('Retest Results'!$F$2:$F$7,D5)</x:f>
        <x:v>6</x:v>
      </x:c>
      <x:c r="E6" s="129" t="n">
        <x:f>COUNTIF('Retest Results'!$F$2:$F$7,E5)</x:f>
        <x:v>0</x:v>
      </x:c>
      <x:c r="F6" s="129" t="n">
        <x:f>COUNTIF('Retest Results'!$F$2:$F$7,F5)</x:f>
        <x:v>0</x:v>
      </x:c>
      <x:c r="G6" s="129" t="n">
        <x:f>COUNTIF('Retest Results'!$F$2:$F$7,G5)</x:f>
        <x:v>0</x:v>
      </x:c>
    </x:row>
    <x:row r="7" ht="22" customHeight="1">
      <x:c r="A7" s="126" t="str">
        <x:v>Fixtures</x:v>
      </x:c>
      <x:c r="B7" s="127" t="str">
        <x:v>Included/missing: Tae's Den · Excluded: G4A Excluded Week · Completed: asdasd</x:v>
      </x:c>
      <x:c r="C7" s="127"/>
      <x:c r="D7" s="127"/>
      <x:c r="E7" s="127"/>
      <x:c r="F7" s="127"/>
      <x:c r="G7" s="127"/>
    </x:row>
    <x:row r="8" ht="22" customHeight="1">
      <x:c r="A8" s="126" t="str">
        <x:v>Browser</x:v>
      </x:c>
      <x:c r="B8" s="127" t="str">
        <x:v>Chrome connector via delegated GPT-5.6 Terra testers</x:v>
      </x:c>
      <x:c r="C8" s="127"/>
      <x:c r="D8" s="127"/>
      <x:c r="E8" s="127"/>
      <x:c r="F8" s="127"/>
      <x:c r="G8" s="127"/>
    </x:row>
    <x:row r="9" ht="22" customHeight="1">
      <x:c r="A9" s="126" t="str">
        <x:v>Independent review</x:v>
      </x:c>
      <x:c r="B9" s="127" t="str">
        <x:v>GPT-5.6 Sol review of screenshots, geometry, source, and validation</x:v>
      </x:c>
      <x:c r="C9" s="127"/>
      <x:c r="D9" s="127"/>
      <x:c r="E9" s="127"/>
      <x:c r="F9" s="127"/>
      <x:c r="G9" s="127"/>
    </x:row>
    <x:row r="10" ht="22" customHeight="1">
      <x:c r="A10" s="126" t="str">
        <x:v>Scope</x:v>
      </x:c>
      <x:c r="B10" s="127" t="str">
        <x:v>G4A-01 through G4A-06 across 1440x900, 1024x768, 390x844 and 390x700</x:v>
      </x:c>
      <x:c r="C10" s="127"/>
      <x:c r="D10" s="127"/>
      <x:c r="E10" s="127"/>
      <x:c r="F10" s="127"/>
      <x:c r="G10" s="127"/>
    </x:row>
    <x:row r="11" ht="22" customHeight="1">
      <x:c r="A11" s="125"/>
      <x:c r="B11" s="125"/>
      <x:c r="C11" s="125"/>
      <x:c r="D11" s="125"/>
      <x:c r="E11" s="125"/>
      <x:c r="F11" s="125"/>
      <x:c r="G11" s="125"/>
    </x:row>
    <x:row r="12" ht="22" customHeight="1">
      <x:c r="A12" s="130" t="str">
        <x:v>Acceptance conclusion</x:v>
      </x:c>
      <x:c r="B12" s="130"/>
      <x:c r="C12" s="130"/>
      <x:c r="D12" s="130"/>
      <x:c r="E12" s="130"/>
      <x:c r="F12" s="130"/>
      <x:c r="G12" s="130"/>
    </x:row>
    <x:row r="13" ht="28" customHeight="1">
      <x:c r="A13" s="131" t="str">
        <x:v>Group 4A launch-integrity UAT is accepted. Dedicated included- and excluded-week fixtures now prove truthful Yesterday availability, the missing-revenue state passed at every required viewport, and all three responsive containment defects are closed. Full stored historical queries and Month/Custom trends remain deferred after the paid-launch scope.</x:v>
      </x:c>
      <x:c r="B13" s="131"/>
      <x:c r="C13" s="131"/>
      <x:c r="D13" s="131"/>
      <x:c r="E13" s="131"/>
      <x:c r="F13" s="131"/>
      <x:c r="G13" s="131"/>
    </x:row>
    <x:row r="14" ht="28" customHeight="1">
      <x:c r="A14" s="131"/>
      <x:c r="B14" s="131"/>
      <x:c r="C14" s="131"/>
      <x:c r="D14" s="131"/>
      <x:c r="E14" s="131"/>
      <x:c r="F14" s="131"/>
      <x:c r="G14" s="131"/>
    </x:row>
    <x:row r="15" ht="28" customHeight="1">
      <x:c r="A15" s="131"/>
      <x:c r="B15" s="131"/>
      <x:c r="C15" s="131"/>
      <x:c r="D15" s="131"/>
      <x:c r="E15" s="131"/>
      <x:c r="F15" s="131"/>
      <x:c r="G15" s="131"/>
    </x:row>
    <x:row r="16" ht="28" customHeight="1">
      <x:c r="A16" s="131"/>
      <x:c r="B16" s="131"/>
      <x:c r="C16" s="131"/>
      <x:c r="D16" s="131"/>
      <x:c r="E16" s="131"/>
      <x:c r="F16" s="131"/>
      <x:c r="G16" s="131"/>
    </x:row>
    <x:row r="17" ht="22" customHeight="1">
      <x:c r="A17" s="125"/>
      <x:c r="B17" s="125"/>
      <x:c r="C17" s="125"/>
      <x:c r="D17" s="125"/>
      <x:c r="E17" s="125"/>
      <x:c r="F17" s="125"/>
      <x:c r="G17" s="125"/>
    </x:row>
    <x:row r="18" ht="22" customHeight="1">
      <x:c r="A18" s="132" t="str">
        <x:v>Next batch</x:v>
      </x:c>
      <x:c r="B18" s="132"/>
      <x:c r="C18" s="132"/>
      <x:c r="D18" s="132"/>
      <x:c r="E18" s="132"/>
      <x:c r="F18" s="132"/>
      <x:c r="G18" s="132"/>
    </x:row>
    <x:row r="19" ht="22" customHeight="1">
      <x:c r="A19" s="133" t="str">
        <x:v>Proceed to the next priority group. Preserve G4A fixtures for regression and keep full historical reporting as the separately deferred Group 4 scope.</x:v>
      </x:c>
      <x:c r="B19" s="133"/>
      <x:c r="C19" s="133"/>
      <x:c r="D19" s="133"/>
      <x:c r="E19" s="133"/>
      <x:c r="F19" s="133"/>
      <x:c r="G19" s="133"/>
    </x:row>
  </x:sheetData>
  <x:mergeCells>
    <x:mergeCell ref="A1:G2"/>
    <x:mergeCell ref="A3:G3"/>
    <x:mergeCell ref="A12:G12"/>
    <x:mergeCell ref="A13:G16"/>
    <x:mergeCell ref="A18:G18"/>
    <x:mergeCell ref="A19:G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1" hidden="0" customWidth="1"/>
    <x:col min="4" max="4" width="24" hidden="0" customWidth="1"/>
    <x:col min="5" max="5" width="10" hidden="0" customWidth="1"/>
    <x:col min="6" max="6" width="10" hidden="0" customWidth="1"/>
    <x:col min="7" max="7" width="18" hidden="0" customWidth="1"/>
    <x:col min="8" max="8" width="27" hidden="0" customWidth="1"/>
    <x:col min="9" max="9" width="31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</x:cols>
  <x:sheetData>
    <x:row r="1">
      <x:c r="A1" s="137" t="str">
        <x:v>Run ID</x:v>
      </x:c>
      <x:c r="B1" s="137" t="str">
        <x:v>Agent</x:v>
      </x:c>
      <x:c r="C1" s="137" t="str">
        <x:v>Test ID</x:v>
      </x:c>
      <x:c r="D1" s="137" t="str">
        <x:v>Area</x:v>
      </x:c>
      <x:c r="E1" s="137" t="str">
        <x:v>Priority</x:v>
      </x:c>
      <x:c r="F1" s="137" t="str">
        <x:v>Result</x:v>
      </x:c>
      <x:c r="G1" s="137" t="str">
        <x:v>Device</x:v>
      </x:c>
      <x:c r="H1" s="137" t="str">
        <x:v>Viewport</x:v>
      </x:c>
      <x:c r="I1" s="137" t="str">
        <x:v>URL</x:v>
      </x:c>
      <x:c r="J1" s="137" t="str">
        <x:v>Expected</x:v>
      </x:c>
      <x:c r="K1" s="137" t="str">
        <x:v>Actual</x:v>
      </x:c>
      <x:c r="L1" s="137" t="str">
        <x:v>UI observations</x:v>
      </x:c>
      <x:c r="M1" s="137" t="str">
        <x:v>Evidence</x:v>
      </x:c>
      <x:c r="N1" s="137" t="str">
        <x:v>Console/network</x:v>
      </x:c>
      <x:c r="O1" s="137" t="str">
        <x:v>Refresh reproduction</x:v>
      </x:c>
      <x:c r="P1" s="137" t="str">
        <x:v>Severity</x:v>
      </x:c>
      <x:c r="Q1" s="137" t="str">
        <x:v>Major blocker</x:v>
      </x:c>
      <x:c r="R1" s="137" t="str">
        <x:v>Account/venue</x:v>
      </x:c>
      <x:c r="S1" s="137" t="str">
        <x:v>Defect ID</x:v>
      </x:c>
      <x:c r="T1" s="137" t="str">
        <x:v>Notes</x:v>
      </x:c>
    </x:row>
    <x:row r="2" ht="80" customHeight="1">
      <x:c r="A2" s="139" t="str">
        <x:v>G4A-UAT-2026-08-03-B</x:v>
      </x:c>
      <x:c r="B2" s="139" t="str">
        <x:v>Terra execution + Sol review</x:v>
      </x:c>
      <x:c r="C2" s="139" t="str">
        <x:v>G4A-01</x:v>
      </x:c>
      <x:c r="D2" s="139" t="str">
        <x:v>Unsupported reporting periods</x:v>
      </x:c>
      <x:c r="E2" s="139" t="str">
        <x:v>P0</x:v>
      </x:c>
      <x:c r="F2" s="139" t="str">
        <x:v>PASS</x:v>
      </x:c>
      <x:c r="G2" s="139" t="str">
        <x:v>Responsive browser</x:v>
      </x:c>
      <x:c r="H2" s="139" t="str">
        <x:v>1440x900; 1024x768; 390x844; 390x700</x:v>
      </x:c>
      <x:c r="I2" s="139" t="str">
        <x:v>/app?period=last-week|next-week|month|custom</x:v>
      </x:c>
      <x:c r="J2" s="139" t="str">
        <x:v>Unsupported periods remain disabled and guarded URLs do not expose demo figures.</x:v>
      </x:c>
      <x:c r="K2" s="139" t="str">
        <x:v>Last Week, Next Week, Month, and Custom remain guarded; unsupported periods resolve to This week without demo results.</x:v>
      </x:c>
      <x:c r="L2" s="139" t="str">
        <x:v>Prior accepted UI behavior carries forward; the excluded-week journey provides adjacent regression coverage.</x:v>
      </x:c>
      <x:c r="M2" s="139" t="str">
        <x:v>Run A evidence plus G4A-UAT-2026-08-03-B/sol-review.md</x:v>
      </x:c>
      <x:c r="N2" s="139" t="str">
        <x:v>No relevant application errors.</x:v>
      </x:c>
      <x:c r="O2" s="139" t="str">
        <x:v>Carried forward</x:v>
      </x:c>
      <x:c r="P2" s="139" t="str">
        <x:v>None</x:v>
      </x:c>
      <x:c r="Q2" s="139" t="str">
        <x:v>No</x:v>
      </x:c>
      <x:c r="R2" s="139" t="str">
        <x:v>Authorized UAT fixtures</x:v>
      </x:c>
      <x:c r="S2" s="139" t="str"/>
      <x:c r="T2" s="139" t="str">
        <x:v>PASS. Central guard unchanged; no regression concern.</x:v>
      </x:c>
    </x:row>
    <x:row r="3" ht="80" customHeight="1">
      <x:c r="A3" s="140" t="str">
        <x:v>G4A-UAT-2026-08-03-B</x:v>
      </x:c>
      <x:c r="B3" s="140" t="str">
        <x:v>Terra execution + Sol review</x:v>
      </x:c>
      <x:c r="C3" s="140" t="str">
        <x:v>G4A-02</x:v>
      </x:c>
      <x:c r="D3" s="140" t="str">
        <x:v>Yesterday date semantics</x:v>
      </x:c>
      <x:c r="E3" s="140" t="str">
        <x:v>P0</x:v>
      </x:c>
      <x:c r="F3" s="140" t="str">
        <x:v>PASS</x:v>
      </x:c>
      <x:c r="G3" s="140" t="str">
        <x:v>Responsive browser</x:v>
      </x:c>
      <x:c r="H3" s="140" t="str">
        <x:v>1440x900; 1024x768; 390x844; 390x700</x:v>
      </x:c>
      <x:c r="I3" s="140" t="str">
        <x:v>/app?period=yesterday</x:v>
      </x:c>
      <x:c r="J3" s="140" t="str">
        <x:v>Yesterday is available only when the loaded saved week contains the real yesterday date.</x:v>
      </x:c>
      <x:c r="K3" s="140" t="str">
        <x:v>Included week labels Sunday 2 Aug truthfully. Excluded 3–9 Aug week redirects to This week and keeps Yesterday unavailable after refresh.</x:v>
      </x:c>
      <x:c r="L3" s="140" t="str">
        <x:v>No day is relabelled; excluded and included states are legible and contained at every required viewport.</x:v>
      </x:c>
      <x:c r="M3" s="140" t="str">
        <x:v>journey/onegood-g4a-excluded-week-direct-yesterday-1440x900.png; mobile-short/G4A-02-excluded-week-1024x768.png; mobile-short/G4A-02-excluded-week-390x844.png; mobile-short/G4A-02-excluded-week-390x700.png</x:v>
      </x:c>
      <x:c r="N3" s="140" t="str">
        <x:v>No application errors; connector warnings excluded.</x:v>
      </x:c>
      <x:c r="O3" s="140" t="str">
        <x:v>Yes</x:v>
      </x:c>
      <x:c r="P3" s="140" t="str">
        <x:v>None</x:v>
      </x:c>
      <x:c r="Q3" s="140" t="str">
        <x:v>No</x:v>
      </x:c>
      <x:c r="R3" s="140" t="str">
        <x:v>onegood / dedicated fixtures</x:v>
      </x:c>
      <x:c r="S3" s="140" t="str"/>
      <x:c r="T3" s="140" t="str">
        <x:v>PASS. Dedicated excluded-week fixture closes the prior blocker.</x:v>
      </x:c>
    </x:row>
    <x:row r="4" ht="80" customHeight="1">
      <x:c r="A4" s="140" t="str">
        <x:v>G4A-UAT-2026-08-03-B</x:v>
      </x:c>
      <x:c r="B4" s="140" t="str">
        <x:v>Terra execution + Sol review</x:v>
      </x:c>
      <x:c r="C4" s="140" t="str">
        <x:v>G4A-03</x:v>
      </x:c>
      <x:c r="D4" s="140" t="str">
        <x:v>Missing Yesterday revenue</x:v>
      </x:c>
      <x:c r="E4" s="140" t="str">
        <x:v>P0</x:v>
      </x:c>
      <x:c r="F4" s="140" t="str">
        <x:v>PASS</x:v>
      </x:c>
      <x:c r="G4" s="140" t="str">
        <x:v>Responsive browser</x:v>
      </x:c>
      <x:c r="H4" s="140" t="str">
        <x:v>1440x900; 1024x768; 390x844; 390x700</x:v>
      </x:c>
      <x:c r="I4" s="140" t="str">
        <x:v>/app?period=yesterday</x:v>
      </x:c>
      <x:c r="J4" s="140" t="str">
        <x:v>Missing revenue shows Waiting for revenue and the correct daily-entry CTA without completed-result actions.</x:v>
      </x:c>
      <x:c r="K4" s="140" t="str">
        <x:v>Missing Sunday revenue shows Waiting for revenue and Add Sunday's revenue for 2 Aug only; What happened, What if, and See all numbers are absent.</x:v>
      </x:c>
      <x:c r="L4" s="140" t="str">
        <x:v>Settled empty-state layouts have no overlap, clipping, or horizontal overflow at any required viewport.</x:v>
      </x:c>
      <x:c r="M4" s="140" t="str">
        <x:v>journey/onegood-missing-sunday-yesterday-settled-1440x900.png; desktop-medium/missing-yesterday-1024x768.png; mobile-short/G4A-03-waiting-revenue-390x844.png; mobile-short/G4A-03-waiting-revenue-390x700.png</x:v>
      </x:c>
      <x:c r="N4" s="140" t="str">
        <x:v>No relevant application errors.</x:v>
      </x:c>
      <x:c r="O4" s="140" t="str">
        <x:v>Yes</x:v>
      </x:c>
      <x:c r="P4" s="140" t="str">
        <x:v>None</x:v>
      </x:c>
      <x:c r="Q4" s="140" t="str">
        <x:v>No</x:v>
      </x:c>
      <x:c r="R4" s="140" t="str">
        <x:v>onegood / Tae's Den</x:v>
      </x:c>
      <x:c r="S4" s="140" t="str"/>
      <x:c r="T4" s="140" t="str">
        <x:v>PASS. Responsive evidence closes the prior blocker.</x:v>
      </x:c>
    </x:row>
    <x:row r="5" ht="80" customHeight="1">
      <x:c r="A5" s="140" t="str">
        <x:v>G4A-UAT-2026-08-03-B</x:v>
      </x:c>
      <x:c r="B5" s="140" t="str">
        <x:v>Terra execution + Sol review</x:v>
      </x:c>
      <x:c r="C5" s="140" t="str">
        <x:v>G4A-04</x:v>
      </x:c>
      <x:c r="D5" s="140" t="str">
        <x:v>Completed Yesterday persistence</x:v>
      </x:c>
      <x:c r="E5" s="140" t="str">
        <x:v>P0</x:v>
      </x:c>
      <x:c r="F5" s="140" t="str">
        <x:v>PASS</x:v>
      </x:c>
      <x:c r="G5" s="140" t="str">
        <x:v>Responsive browser</x:v>
      </x:c>
      <x:c r="H5" s="140" t="str">
        <x:v>1440x900; 1024x768; 390x844; 390x700</x:v>
      </x:c>
      <x:c r="I5" s="140" t="str">
        <x:v>/app?period=yesterday</x:v>
      </x:c>
      <x:c r="J5" s="140" t="str">
        <x:v>Saved Yesterday result and child views persist and use the saved revision.</x:v>
      </x:c>
      <x:c r="K5" s="140" t="str">
        <x:v>Saved Sunday revision remains +$436 estimated, +$214 budget, and +$222 ahead across refresh and child views.</x:v>
      </x:c>
      <x:c r="L5" s="140" t="str">
        <x:v>Run B did not alter completed daily actuals or calculation code.</x:v>
      </x:c>
      <x:c r="M5" s="140" t="str">
        <x:v>Run A completed-journey evidence; G4A-UAT-2026-08-03-B/sol-review.md</x:v>
      </x:c>
      <x:c r="N5" s="140" t="str">
        <x:v>No relevant application errors.</x:v>
      </x:c>
      <x:c r="O5" s="140" t="str">
        <x:v>Carried forward</x:v>
      </x:c>
      <x:c r="P5" s="140" t="str">
        <x:v>None</x:v>
      </x:c>
      <x:c r="Q5" s="140" t="str">
        <x:v>No</x:v>
      </x:c>
      <x:c r="R5" s="140" t="str">
        <x:v>thedistancearchives / asdasd</x:v>
      </x:c>
      <x:c r="S5" s="140" t="str"/>
      <x:c r="T5" s="140" t="str">
        <x:v>PASS. Retained from run A without regression concern.</x:v>
      </x:c>
    </x:row>
    <x:row r="6" ht="80" customHeight="1">
      <x:c r="A6" s="140" t="str">
        <x:v>G4A-UAT-2026-08-03-B</x:v>
      </x:c>
      <x:c r="B6" s="140" t="str">
        <x:v>Terra execution + Sol review</x:v>
      </x:c>
      <x:c r="C6" s="140" t="str">
        <x:v>G4A-05</x:v>
      </x:c>
      <x:c r="D6" s="140" t="str">
        <x:v>Responsive period dashboard</x:v>
      </x:c>
      <x:c r="E6" s="140" t="str">
        <x:v>P1</x:v>
      </x:c>
      <x:c r="F6" s="140" t="str">
        <x:v>PASS</x:v>
      </x:c>
      <x:c r="G6" s="140" t="str">
        <x:v>Responsive browser</x:v>
      </x:c>
      <x:c r="H6" s="140" t="str">
        <x:v>1440x900; 1024x768; 390x844; 390x700</x:v>
      </x:c>
      <x:c r="I6" s="140" t="str">
        <x:v>/app?period=this-week; /app?period=yesterday</x:v>
      </x:c>
      <x:c r="J6" s="140" t="str">
        <x:v>Navigation and dashboard content remain usable with no clipping or horizontal overflow.</x:v>
      </x:c>
      <x:c r="K6" s="140" t="str">
        <x:v>Desktop dashboards scroll to See all numbers; Sunday detail remains within its rail; mobile width is contained and final content clears the fixed dock.</x:v>
      </x:c>
      <x:c r="L6" s="140" t="str">
        <x:v>Exact affected-viewport geometry confirms all three prior containment defects are resolved.</x:v>
      </x:c>
      <x:c r="M6" s="140" t="str">
        <x:v>desktop-medium/completed-this-week-sunday-final-bounds-1440x900.png; desktop-medium/completed-this-week-see-all-reached-1024x768.png; mobile-short/G4A-05-asdasd-390x844-bottom.png; mobile-short/G4A-05-asdasd-390x700-bottom.png</x:v>
      </x:c>
      <x:c r="N6" s="140" t="str">
        <x:v>No relevant application errors.</x:v>
      </x:c>
      <x:c r="O6" s="140" t="str">
        <x:v>Yes</x:v>
      </x:c>
      <x:c r="P6" s="140" t="str">
        <x:v>Resolved</x:v>
      </x:c>
      <x:c r="Q6" s="140" t="str">
        <x:v>No</x:v>
      </x:c>
      <x:c r="R6" s="140" t="str">
        <x:v>thedistancearchives / asdasd</x:v>
      </x:c>
      <x:c r="S6" s="140" t="str">
        <x:v>G4A-05-DESKTOP-VERTICAL-CONTAINMENT; G4A-05-DESKTOP-POPOVER-CONTAINMENT; G4A-05-MOBILE-HORIZONTAL-OVERFLOW</x:v>
      </x:c>
      <x:c r="T6" s="140" t="str">
        <x:v>PASS. All three prior responsive defects closed.</x:v>
      </x:c>
    </x:row>
    <x:row r="7" ht="80" customHeight="1">
      <x:c r="A7" s="141" t="str">
        <x:v>G4A-UAT-2026-08-03-B</x:v>
      </x:c>
      <x:c r="B7" s="141" t="str">
        <x:v>Terra execution + Sol review</x:v>
      </x:c>
      <x:c r="C7" s="141" t="str">
        <x:v>G4A-06</x:v>
      </x:c>
      <x:c r="D7" s="141" t="str">
        <x:v>Demo-data reachability</x:v>
      </x:c>
      <x:c r="E7" s="141" t="str">
        <x:v>P0</x:v>
      </x:c>
      <x:c r="F7" s="141" t="str">
        <x:v>PASS</x:v>
      </x:c>
      <x:c r="G7" s="141" t="str">
        <x:v>Responsive browser</x:v>
      </x:c>
      <x:c r="H7" s="141" t="str">
        <x:v>1440x900; 1024x768; 390x844; 390x700</x:v>
      </x:c>
      <x:c r="I7" s="141" t="str">
        <x:v>/app?period=this-week|custom</x:v>
      </x:c>
      <x:c r="J7" s="141" t="str">
        <x:v>No demo history, June values, or unowned completed period is reachable.</x:v>
      </x:c>
      <x:c r="K7" s="141" t="str">
        <x:v>No Demo history, June seeded report, or unsupported completed period is reachable through launch navigation or guarded URLs.</x:v>
      </x:c>
      <x:c r="L7" s="141" t="str">
        <x:v>Central guard is unchanged and the excluded-week regression exposes no demo history.</x:v>
      </x:c>
      <x:c r="M7" s="141" t="str">
        <x:v>Run A evidence plus G4A-UAT-2026-08-03-B/sol-review.md</x:v>
      </x:c>
      <x:c r="N7" s="141" t="str">
        <x:v>No relevant application errors.</x:v>
      </x:c>
      <x:c r="O7" s="141" t="str">
        <x:v>Carried forward</x:v>
      </x:c>
      <x:c r="P7" s="141" t="str">
        <x:v>None</x:v>
      </x:c>
      <x:c r="Q7" s="141" t="str">
        <x:v>No</x:v>
      </x:c>
      <x:c r="R7" s="141" t="str">
        <x:v>Authorized UAT fixtures</x:v>
      </x:c>
      <x:c r="S7" s="141" t="str"/>
      <x:c r="T7" s="141" t="str">
        <x:v>PASS. Retained from run A without regression concern.</x:v>
      </x:c>
    </x:row>
  </x:sheetData>
  <x:conditionalFormatting sqref="F2:F7">
    <x:cfRule type="containsText" dxfId="0" priority="1" operator="containsText" text="PASS"/>
  </x:conditionalFormatting>
  <x:conditionalFormatting sqref="A2:T7">
    <x:cfRule type="expression" dxfId="1" priority="2">
      <x:formula>MOD(ROW(),2)=0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>
      <x:c r="A1" s="137" t="str">
        <x:v>Defect ID</x:v>
      </x:c>
      <x:c r="B1" s="137" t="str">
        <x:v>Linked tests</x:v>
      </x:c>
      <x:c r="C1" s="137" t="str">
        <x:v>Priority</x:v>
      </x:c>
      <x:c r="D1" s="137" t="str">
        <x:v>Status</x:v>
      </x:c>
      <x:c r="E1" s="137" t="str">
        <x:v>Category</x:v>
      </x:c>
      <x:c r="F1" s="137" t="str">
        <x:v>Viewports</x:v>
      </x:c>
      <x:c r="G1" s="137" t="str">
        <x:v>Reproduction</x:v>
      </x:c>
      <x:c r="H1" s="137" t="str">
        <x:v>Expected</x:v>
      </x:c>
      <x:c r="I1" s="137" t="str">
        <x:v>Actual</x:v>
      </x:c>
      <x:c r="J1" s="137" t="str">
        <x:v>Evidence</x:v>
      </x:c>
      <x:c r="K1" s="137" t="str">
        <x:v>Root cause</x:v>
      </x:c>
      <x:c r="L1" s="137" t="str">
        <x:v>Repair</x:v>
      </x:c>
      <x:c r="M1" s="137" t="str">
        <x:v>Retest</x:v>
      </x:c>
      <x:c r="N1" s="137" t="str">
        <x:v>Owner / next action</x:v>
      </x:c>
    </x:row>
    <x:row r="2" ht="86" customHeight="1">
      <x:c r="A2" s="139" t="str">
        <x:v>G4A-05-DESKTOP-VERTICAL-CONTAINMENT</x:v>
      </x:c>
      <x:c r="B2" s="139" t="str">
        <x:v>G4A-05</x:v>
      </x:c>
      <x:c r="C2" s="139" t="str">
        <x:v>P1</x:v>
      </x:c>
      <x:c r="D2" s="139" t="str">
        <x:v>RESOLVED</x:v>
      </x:c>
      <x:c r="E2" s="139" t="str">
        <x:v>Responsive containment</x:v>
      </x:c>
      <x:c r="F2" s="139" t="str">
        <x:v>1440x900; 1024x768</x:v>
      </x:c>
      <x:c r="G2" s="139" t="str">
        <x:v>Open This week with Sunday selected and inspect the footer at short desktop height.</x:v>
      </x:c>
      <x:c r="H2" s="139" t="str">
        <x:v>See all numbers remains reachable with normal vertical scrolling.</x:v>
      </x:c>
      <x:c r="I2" s="139" t="str">
        <x:v>Dashboard client/scroll heights are 816/954 and 684/771; footer is fully visible after normal scroll.</x:v>
      </x:c>
      <x:c r="J2" s="139" t="str">
        <x:v>desktop-medium/completed-this-week-sunday-final-bounds-1440x900.png; desktop-medium/completed-this-week-see-all-reached-1024x768.png</x:v>
      </x:c>
      <x:c r="K2" s="139" t="str">
        <x:v>Desktop short-height rule forced overflow hidden.</x:v>
      </x:c>
      <x:c r="L2" s="139" t="str">
        <x:v>Allow vertical scrolling and retain bottom breathing room.</x:v>
      </x:c>
      <x:c r="M2" s="139" t="str">
        <x:v>PASS at both affected desktop/medium viewports.</x:v>
      </x:c>
      <x:c r="N2" s="139" t="str">
        <x:v>Closed in run B</x:v>
      </x:c>
    </x:row>
    <x:row r="3" ht="86" customHeight="1">
      <x:c r="A3" s="140" t="str">
        <x:v>G4A-05-DESKTOP-POPOVER-CONTAINMENT</x:v>
      </x:c>
      <x:c r="B3" s="140" t="str">
        <x:v>G4A-05</x:v>
      </x:c>
      <x:c r="C3" s="140" t="str">
        <x:v>P1</x:v>
      </x:c>
      <x:c r="D3" s="140" t="str">
        <x:v>RESOLVED</x:v>
      </x:c>
      <x:c r="E3" s="140" t="str">
        <x:v>Responsive containment</x:v>
      </x:c>
      <x:c r="F3" s="140" t="str">
        <x:v>1440x900</x:v>
      </x:c>
      <x:c r="G3" s="140" t="str">
        <x:v>Select Sunday on This week and compare breakdown bounds with the rail.</x:v>
      </x:c>
      <x:c r="H3" s="140" t="str">
        <x:v>Sunday breakdown remains inside the rail and viewport.</x:v>
      </x:c>
      <x:c r="I3" s="140" t="str">
        <x:v>Breakdown right edge 1366.41 is inside rail right edge 1367.41; content is intact.</x:v>
      </x:c>
      <x:c r="J3" s="140" t="str">
        <x:v>desktop-medium/completed-this-week-sunday-final-bounds-1440x900.png</x:v>
      </x:c>
      <x:c r="K3" s="140" t="str">
        <x:v>Final day detail width exceeded its available stop width.</x:v>
      </x:c>
      <x:c r="L3" s="140" t="str">
        <x:v>Constrain final stop detail to available width.</x:v>
      </x:c>
      <x:c r="M3" s="140" t="str">
        <x:v>PASS at 1440x900.</x:v>
      </x:c>
      <x:c r="N3" s="140" t="str">
        <x:v>Closed in run B</x:v>
      </x:c>
    </x:row>
    <x:row r="4" ht="86" customHeight="1">
      <x:c r="A4" s="141" t="str">
        <x:v>G4A-05-MOBILE-HORIZONTAL-OVERFLOW</x:v>
      </x:c>
      <x:c r="B4" s="141" t="str">
        <x:v>G4A-05</x:v>
      </x:c>
      <x:c r="C4" s="141" t="str">
        <x:v>P2</x:v>
      </x:c>
      <x:c r="D4" s="141" t="str">
        <x:v>RESOLVED</x:v>
      </x:c>
      <x:c r="E4" s="141" t="str">
        <x:v>Responsive containment</x:v>
      </x:c>
      <x:c r="F4" s="141" t="str">
        <x:v>390x844; 390x700</x:v>
      </x:c>
      <x:c r="G4" s="141" t="str">
        <x:v>Open completed This week on mobile and inspect dashboard scroll width and dock clearance.</x:v>
      </x:c>
      <x:c r="H4" s="141" t="str">
        <x:v>No sideways scrolling; final disclosure clears the fixed dock.</x:v>
      </x:c>
      <x:c r="I4" s="141" t="str">
        <x:v>Document width is 390/390 at both heights; final action clears the dock by more than 50px.</x:v>
      </x:c>
      <x:c r="J4" s="141" t="str">
        <x:v>mobile-short/G4A-05-asdasd-390x844-bottom.png; mobile-short/G4A-05-asdasd-390x700-bottom.png</x:v>
      </x:c>
      <x:c r="K4" s="141" t="str">
        <x:v>Decorative hero geometry escaped the dashboard x-axis.</x:v>
      </x:c>
      <x:c r="L4" s="141" t="str">
        <x:v>Contain horizontal overflow and clamp the mobile decorative shape.</x:v>
      </x:c>
      <x:c r="M4" s="141" t="str">
        <x:v>PASS at both mobile heights.</x:v>
      </x:c>
      <x:c r="N4" s="141" t="str">
        <x:v>Closed in run B</x:v>
      </x:c>
    </x:row>
  </x:sheetData>
  <x:conditionalFormatting sqref="D2:D4">
    <x:cfRule type="containsText" dxfId="2" priority="1" operator="containsText" text="RESOLVED"/>
  </x:conditionalFormatting>
  <x:pageMargins left="0.7" right="0.7" top="0.75" bottom="0.75" header="0.3" footer="0.3"/>
</x:worksheet>
</file>