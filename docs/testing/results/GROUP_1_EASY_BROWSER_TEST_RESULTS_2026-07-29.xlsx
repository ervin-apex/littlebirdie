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a1f7ab183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16e67d1cba4ff6"/>
    <x:sheet xmlns:r="http://schemas.openxmlformats.org/officeDocument/2006/relationships" name="Test Results" sheetId="2" r:id="R2bfd61b8d3f046e8"/>
    <x:sheet xmlns:r="http://schemas.openxmlformats.org/officeDocument/2006/relationships" name="Defects" sheetId="3" r:id="Rf6d82cca7f05416f"/>
    <x:sheet xmlns:r="http://schemas.openxmlformats.org/officeDocument/2006/relationships" name="Journey Summary" sheetId="4" r:id="R8b943770be2c4353"/>
    <x:sheet xmlns:r="http://schemas.openxmlformats.org/officeDocument/2006/relationships" name="Journey Results" sheetId="5" r:id="R60b7b70803c24543"/>
    <x:sheet xmlns:r="http://schemas.openxmlformats.org/officeDocument/2006/relationships" name="Journey Defects" sheetId="6" r:id="Rfc3dc6f0e349422e"/>
    <x:sheet xmlns:r="http://schemas.openxmlformats.org/officeDocument/2006/relationships" name="DB Evidence" sheetId="7" r:id="R6e8e8aa554684040"/>
    <x:sheet xmlns:r="http://schemas.openxmlformats.org/officeDocument/2006/relationships" name="Complex Summary" sheetId="8" r:id="Rc5af8007824b4036"/>
    <x:sheet xmlns:r="http://schemas.openxmlformats.org/officeDocument/2006/relationships" name="Complex Results" sheetId="9" r:id="R83ac2a5009df41fa"/>
    <x:sheet xmlns:r="http://schemas.openxmlformats.org/officeDocument/2006/relationships" name="Complex DB Evidence" sheetId="10" r:id="Ra04adfc03b1840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5D6B82"/>
      <x:name val="Carlito"/>
    </x:font>
    <x:font>
      <x:b/>
      <x:sz val="11"/>
      <x:color rgb="FF10203C"/>
      <x:name val="Carlito"/>
    </x:font>
    <x:font>
      <x:b/>
      <x:sz val="11"/>
      <x:color rgb="FF176B47"/>
      <x:name val="Carlito"/>
    </x:font>
    <x:font>
      <x:b/>
      <x:sz val="11"/>
      <x:color rgb="FFA7352B"/>
      <x:name val="Carlito"/>
    </x:font>
    <x:font>
      <x:b/>
      <x:sz val="11"/>
      <x:color rgb="FF8A5B00"/>
      <x:name val="Carlito"/>
    </x:font>
    <x:font>
      <x:b/>
      <x:sz val="14"/>
      <x:color rgb="FF176B47"/>
      <x:name val="Carlito"/>
    </x:font>
    <x:font>
      <x:b/>
      <x:sz val="11"/>
      <x:color rgb="FFFFFFFF"/>
      <x:name val="Carlito"/>
    </x:font>
    <x:font>
      <x:i/>
      <x:sz val="11"/>
      <x:color rgb="FF234D85"/>
      <x:name val="Carlito"/>
    </x:font>
    <x:font>
      <x:b/>
      <x:sz val="10"/>
      <x:color rgb="FFFFFFFF"/>
      <x:name val="Aptos"/>
    </x:font>
    <x:font>
      <x:i/>
      <x:sz val="11"/>
      <x:color rgb="FF10203C"/>
      <x:name val="Carlito"/>
    </x:font>
    <x:font>
      <x:b/>
      <x:sz val="11"/>
      <x:color rgb="FF234D85"/>
      <x:name val="Carlito"/>
    </x:font>
    <x:font>
      <x:b/>
      <x:sz val="14"/>
      <x:color rgb="FFA7352B"/>
      <x:name val="Carlito"/>
    </x:font>
    <x:font>
      <x:b/>
      <x:sz val="16"/>
      <x:color rgb="FFFFFFFF"/>
      <x:name val="Carlito"/>
    </x:font>
    <x:font>
      <x:b/>
      <x:sz val="11"/>
      <x:color rgb="FF9A332D"/>
      <x:name val="Carlito"/>
    </x:font>
    <x:font>
      <x:b/>
      <x:sz val="14"/>
      <x:color rgb="FF8A5B00"/>
      <x:name val="Carlito"/>
    </x:font>
  </x:fonts>
  <x:fills count="36">
    <x:fill>
      <x:patternFill patternType="none"/>
    </x:fill>
    <x:fill>
      <x:patternFill patternType="gray125"/>
    </x:fill>
    <x:fill>
      <x:patternFill patternType="solid">
        <x:fgColor rgb="FF10203C"/>
      </x:patternFill>
    </x:fill>
    <x:fill>
      <x:patternFill patternType="solid">
        <x:fgColor rgb="FFFFF4CF"/>
      </x:patternFill>
    </x:fill>
    <x:fill>
      <x:patternFill patternType="solid">
        <x:fgColor rgb="FFDDF4E8"/>
      </x:patternFill>
    </x:fill>
    <x:fill>
      <x:patternFill patternType="solid">
        <x:fgColor rgb="FFFCE3E1"/>
      </x:patternFill>
    </x:fill>
    <x:fill>
      <x:patternFill patternType="solid">
        <x:fgColor rgb="FFFFF0C2"/>
      </x:patternFill>
    </x:fill>
    <x:fill>
      <x:patternFill patternType="solid">
        <x:fgColor rgb="FFE7EFFB"/>
      </x:patternFill>
    </x:fill>
    <x:fill>
      <x:patternFill patternType="solid">
        <x:fgColor rgb="FFFCE3E1"/>
      </x:patternFill>
    </x:fill>
    <x:fill>
      <x:patternFill patternType="solid">
        <x:fgColor rgb="FF10203C"/>
      </x:patternFill>
    </x:fill>
    <x:fill>
      <x:patternFill patternType="solid">
        <x:fgColor rgb="FFFFF4CF"/>
      </x:patternFill>
    </x:fill>
    <x:fill>
      <x:patternFill patternType="solid">
        <x:fgColor rgb="FFDDF4E8"/>
      </x:patternFill>
    </x:fill>
    <x:fill>
      <x:patternFill patternType="solid">
        <x:fgColor rgb="FFFFF0C2"/>
      </x:patternFill>
    </x:fill>
    <x:fill>
      <x:patternFill patternType="solid">
        <x:fgColor rgb="FFE7EFFB"/>
      </x:patternFill>
    </x:fill>
    <x:fill>
      <x:patternFill patternType="solid">
        <x:fgColor rgb="FFDDF4E8"/>
      </x:patternFill>
    </x:fill>
    <x:fill>
      <x:patternFill patternType="solid">
        <x:fgColor rgb="FFE7EFFB"/>
      </x:patternFill>
    </x:fill>
    <x:fill>
      <x:patternFill patternType="solid">
        <x:fgColor rgb="FFFFF0C2"/>
      </x:patternFill>
    </x:fill>
    <x:fill>
      <x:patternFill patternType="solid">
        <x:fgColor rgb="FFDDF4E8"/>
      </x:patternFill>
    </x:fill>
    <x:fill>
      <x:patternFill patternType="solid">
        <x:fgColor rgb="FFE7EFFB"/>
      </x:patternFill>
    </x:fill>
    <x:fill>
      <x:patternFill patternType="solid">
        <x:fgColor rgb="FFFFF0C2"/>
      </x:patternFill>
    </x:fill>
    <x:fill>
      <x:patternFill patternType="solid">
        <x:fgColor rgb="FFDDF4E8"/>
      </x:patternFill>
    </x:fill>
    <x:fill>
      <x:patternFill patternType="solid">
        <x:fgColor rgb="FFE7EFFB"/>
      </x:patternFill>
    </x:fill>
    <x:fill>
      <x:patternFill patternType="solid">
        <x:fgColor rgb="FFFFF0C2"/>
      </x:patternFill>
    </x:fill>
    <x:fill>
      <x:patternFill patternType="solid">
        <x:fgColor rgb="FF10203C"/>
      </x:patternFill>
    </x:fill>
    <x:fill>
      <x:patternFill patternType="solid">
        <x:fgColor rgb="FF10203C"/>
      </x:patternFill>
    </x:fill>
    <x:fill>
      <x:patternFill patternType="solid">
        <x:fgColor rgb="FFDDF4E8"/>
      </x:patternFill>
    </x:fill>
    <x:fill>
      <x:patternFill patternType="solid">
        <x:fgColor rgb="FFFBE2E0"/>
      </x:patternFill>
    </x:fill>
    <x:fill>
      <x:patternFill patternType="solid">
        <x:fgColor rgb="FFFFF0C2"/>
      </x:patternFill>
    </x:fill>
    <x:fill>
      <x:patternFill patternType="solid">
        <x:fgColor rgb="FFE7EFFB"/>
      </x:patternFill>
    </x:fill>
    <x:fill>
      <x:patternFill patternType="solid">
        <x:fgColor rgb="FFFFF4CE"/>
      </x:patternFill>
    </x:fill>
    <x:fill>
      <x:patternFill patternType="solid">
        <x:fgColor rgb="FF10203C"/>
      </x:patternFill>
    </x:fill>
    <x:fill>
      <x:patternFill patternType="solid">
        <x:fgColor rgb="FFDDF4E8"/>
      </x:patternFill>
    </x:fill>
    <x:fill>
      <x:patternFill patternType="solid">
        <x:fgColor rgb="FFFBE2E0"/>
      </x:patternFill>
    </x:fill>
    <x:fill>
      <x:patternFill patternType="solid">
        <x:fgColor rgb="FFFFF0C2"/>
      </x:patternFill>
    </x:fill>
    <x:fill>
      <x:patternFill patternType="solid">
        <x:fgColor rgb="FFE7EFFB"/>
      </x:patternFill>
    </x:fill>
    <x:fill>
      <x:patternFill patternType="solid">
        <x:fgColor rgb="FFFFF4CE"/>
      </x:patternFill>
    </x:fill>
  </x:fills>
  <x:borders count="19">
    <x:border/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medium">
        <x:color rgb="FFFCB400"/>
      </x:left>
      <x:top style="medium">
        <x:color rgb="FFFCB400"/>
      </x:top>
    </x:border>
    <x:border>
      <x:right style="medium">
        <x:color rgb="FFFCB400"/>
      </x:right>
      <x:top style="medium">
        <x:color rgb="FFFCB400"/>
      </x:top>
    </x:border>
    <x:border>
      <x:left style="medium">
        <x:color rgb="FFFCB400"/>
      </x:left>
    </x:border>
    <x:border>
      <x:right style="medium">
        <x:color rgb="FFFCB400"/>
      </x:right>
    </x:border>
    <x:border>
      <x:left style="medium">
        <x:color rgb="FFFCB400"/>
      </x:left>
      <x:bottom style="medium">
        <x:color rgb="FFFCB400"/>
      </x:bottom>
    </x:border>
    <x:border>
      <x:right style="medium">
        <x:color rgb="FFFCB400"/>
      </x:right>
      <x:bottom style="medium">
        <x:color rgb="FFFCB400"/>
      </x:bottom>
    </x:border>
    <x:border>
      <x:left style="thin">
        <x:color rgb="FFB8CBE8"/>
      </x:left>
      <x:top style="thin">
        <x:color rgb="FFB8CBE8"/>
      </x:top>
    </x:border>
    <x:border>
      <x:top style="thin">
        <x:color rgb="FFB8CBE8"/>
      </x:top>
    </x:border>
    <x:border>
      <x:right style="thin">
        <x:color rgb="FFB8CBE8"/>
      </x:right>
      <x:top style="thin">
        <x:color rgb="FFB8CBE8"/>
      </x:top>
    </x:border>
    <x:border>
      <x:left style="thin">
        <x:color rgb="FFB8CBE8"/>
      </x:left>
    </x:border>
    <x:border>
      <x:right style="thin">
        <x:color rgb="FFB8CBE8"/>
      </x:right>
    </x:border>
    <x:border>
      <x:left style="thin">
        <x:color rgb="FFB8CBE8"/>
      </x:left>
      <x:bottom style="thin">
        <x:color rgb="FFB8CBE8"/>
      </x:bottom>
    </x:border>
    <x:border>
      <x:bottom style="thin">
        <x:color rgb="FFB8CBE8"/>
      </x:bottom>
    </x:border>
    <x:border>
      <x:right style="thin">
        <x:color rgb="FFB8CBE8"/>
      </x:right>
      <x:bottom style="thin">
        <x:color rgb="FFB8CBE8"/>
      </x:bottom>
    </x:border>
    <x:border>
      <x:left style="thin">
        <x:color rgb="FFD6DEE9"/>
      </x:left>
      <x:right style="thin">
        <x:color rgb="FFD6DEE9"/>
      </x:right>
      <x:top style="thin">
        <x:color rgb="FFD6DEE9"/>
      </x:top>
      <x:bottom style="thin">
        <x:color rgb="FFD6DEE9"/>
      </x:bottom>
    </x:border>
    <x:border>
      <x:top style="medium">
        <x:color rgb="FFFCB400"/>
      </x:top>
    </x:border>
    <x:border>
      <x:bottom style="medium">
        <x:color rgb="FFFCB400"/>
      </x:bottom>
    </x:border>
  </x:borders>
  <x:cellStyleXfs count="1">
    <x:xf numFmtId="0" fontId="0" fillId="0" borderId="0"/>
  </x:cellStyleXfs>
  <x:cellXfs count="4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4" xfId="0" applyNumberFormat="1" applyFont="1" applyFill="1" applyBorder="1" applyAlignment="1">
      <x:alignment horizontal="center" wrapText="1"/>
    </x:xf>
    <x:xf numFmtId="0" fontId="7" fillId="4" borderId="5" xfId="0" applyNumberFormat="1" applyFont="1" applyFill="1" applyBorder="1" applyAlignment="1">
      <x:alignment horizontal="center" wrapText="1"/>
    </x:xf>
    <x:xf numFmtId="0" fontId="7" fillId="4" borderId="6" xfId="0" applyNumberFormat="1" applyFont="1" applyFill="1" applyBorder="1" applyAlignment="1">
      <x:alignment horizontal="center" wrapText="1"/>
    </x:xf>
    <x:xf numFmtId="0" fontId="7" fillId="4" borderId="7" xfId="0" applyNumberFormat="1" applyFont="1" applyFill="1" applyBorder="1" applyAlignment="1">
      <x:alignment horizont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7" fillId="4" borderId="5" xfId="0" applyNumberFormat="1" applyFont="1" applyFill="1" applyBorder="1" applyAlignment="1">
      <x:alignment horizontal="center" vertical="center" wrapText="1"/>
    </x:xf>
    <x:xf numFmtId="0" fontId="7" fillId="4" borderId="6" xfId="0" applyNumberFormat="1" applyFont="1" applyFill="1" applyBorder="1" applyAlignment="1">
      <x:alignment horizontal="center" vertical="center" wrapText="1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9" fillId="7" borderId="10" xfId="0" applyNumberFormat="1" applyFont="1" applyFill="1" applyBorder="1"/>
    <x:xf numFmtId="0" fontId="9" fillId="7" borderId="11" xfId="0" applyNumberFormat="1" applyFont="1" applyFill="1" applyBorder="1"/>
    <x:xf numFmtId="0" fontId="9" fillId="7" borderId="12" xfId="0" applyNumberFormat="1" applyFont="1" applyFill="1" applyBorder="1"/>
    <x:xf numFmtId="0" fontId="9" fillId="7" borderId="13" xfId="0" applyNumberFormat="1" applyFont="1" applyFill="1" applyBorder="1"/>
    <x:xf numFmtId="0" fontId="9" fillId="7" borderId="14" xfId="0" applyNumberFormat="1" applyFont="1" applyFill="1" applyBorder="1"/>
    <x:xf numFmtId="0" fontId="9" fillId="7" borderId="15" xfId="0" applyNumberFormat="1" applyFont="1" applyFill="1" applyBorder="1"/>
    <x:xf numFmtId="0" fontId="9" fillId="7" borderId="8" xfId="0" applyNumberFormat="1" applyFont="1" applyFill="1" applyBorder="1" applyAlignment="1">
      <x:alignment wrapText="1"/>
    </x:xf>
    <x:xf numFmtId="0" fontId="9" fillId="7" borderId="9" xfId="0" applyNumberFormat="1" applyFont="1" applyFill="1" applyBorder="1" applyAlignment="1">
      <x:alignment wrapText="1"/>
    </x:xf>
    <x:xf numFmtId="0" fontId="9" fillId="7" borderId="10" xfId="0" applyNumberFormat="1" applyFont="1" applyFill="1" applyBorder="1" applyAlignment="1">
      <x:alignment wrapText="1"/>
    </x:xf>
    <x:xf numFmtId="0" fontId="9" fillId="7" borderId="11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wrapText="1"/>
    </x:xf>
    <x:xf numFmtId="0" fontId="9" fillId="7" borderId="13" xfId="0" applyNumberFormat="1" applyFont="1" applyFill="1" applyBorder="1" applyAlignment="1">
      <x:alignment wrapText="1"/>
    </x:xf>
    <x:xf numFmtId="0" fontId="9" fillId="7" borderId="14" xfId="0" applyNumberFormat="1" applyFont="1" applyFill="1" applyBorder="1" applyAlignment="1">
      <x:alignment wrapText="1"/>
    </x:xf>
    <x:xf numFmtId="0" fontId="9" fillId="7" borderId="15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vertical="center" wrapText="1"/>
    </x:xf>
    <x:xf numFmtId="0" fontId="9" fillId="7" borderId="9" xfId="0" applyNumberFormat="1" applyFont="1" applyFill="1" applyBorder="1" applyAlignment="1">
      <x:alignment vertical="center" wrapText="1"/>
    </x:xf>
    <x:xf numFmtId="0" fontId="9" fillId="7" borderId="10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12" xfId="0" applyNumberFormat="1" applyFont="1" applyFill="1" applyBorder="1" applyAlignment="1">
      <x:alignment vertical="center" wrapText="1"/>
    </x:xf>
    <x:xf numFmtId="0" fontId="9" fillId="7" borderId="13" xfId="0" applyNumberFormat="1" applyFont="1" applyFill="1" applyBorder="1" applyAlignment="1">
      <x:alignment vertical="center" wrapText="1"/>
    </x:xf>
    <x:xf numFmtId="0" fontId="9" fillId="7" borderId="14" xfId="0" applyNumberFormat="1" applyFont="1" applyFill="1" applyBorder="1" applyAlignment="1">
      <x:alignment vertical="center" wrapText="1"/>
    </x:xf>
    <x:xf numFmtId="0" fontId="9" fillId="7" borderId="15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12" fillId="7" borderId="1" xfId="0" applyNumberFormat="1" applyFont="1" applyFill="1" applyBorder="1" applyAlignment="1">
      <x:alignment vertical="top" wrapText="1"/>
    </x:xf>
    <x:xf numFmtId="0" fontId="12" fillId="7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horizontal="center" vertic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6" xfId="0" applyNumberFormat="1" applyFont="1" applyFill="1" applyBorder="1" applyAlignment="1">
      <x:alignment horizontal="center" vertical="center" wrapText="1"/>
    </x:xf>
    <x:xf numFmtId="0" fontId="7" fillId="8" borderId="7" xfId="0" applyNumberFormat="1" applyFont="1" applyFill="1" applyBorder="1" applyAlignment="1">
      <x:alignment horizontal="center" vertical="center" wrapText="1"/>
    </x:xf>
    <x:xf numFmtId="0" fontId="13" fillId="8" borderId="2" xfId="0" applyNumberFormat="1" applyFont="1" applyFill="1" applyBorder="1" applyAlignment="1">
      <x:alignment horizontal="center" vertical="center" wrapText="1"/>
    </x:xf>
    <x:xf numFmtId="0" fontId="13" fillId="8" borderId="3" xfId="0" applyNumberFormat="1" applyFont="1" applyFill="1" applyBorder="1" applyAlignment="1">
      <x:alignment horizontal="center" vertical="center" wrapText="1"/>
    </x:xf>
    <x:xf numFmtId="0" fontId="13" fillId="8" borderId="4" xfId="0" applyNumberFormat="1" applyFont="1" applyFill="1" applyBorder="1" applyAlignment="1">
      <x:alignment horizontal="center" vertical="center" wrapText="1"/>
    </x:xf>
    <x:xf numFmtId="0" fontId="13" fillId="8" borderId="5" xfId="0" applyNumberFormat="1" applyFont="1" applyFill="1" applyBorder="1" applyAlignment="1">
      <x:alignment horizontal="center" vertical="center" wrapText="1"/>
    </x:xf>
    <x:xf numFmtId="0" fontId="13" fillId="8" borderId="6" xfId="0" applyNumberFormat="1" applyFont="1" applyFill="1" applyBorder="1" applyAlignment="1">
      <x:alignment horizontal="center" vertical="center" wrapText="1"/>
    </x:xf>
    <x:xf numFmtId="0" fontId="13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3" fillId="12" borderId="1" xfId="0" applyNumberFormat="1" applyFont="1" applyFill="1" applyBorder="1"/>
    <x:xf numFmtId="0" fontId="6" fillId="12" borderId="1" xfId="0" applyNumberFormat="1" applyFont="1" applyFill="1" applyBorder="1"/>
    <x:xf numFmtId="0" fontId="6" fillId="12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2" xfId="0" applyNumberFormat="1" applyFont="1" applyFill="1" applyBorder="1"/>
    <x:xf numFmtId="0" fontId="13" fillId="8" borderId="3" xfId="0" applyNumberFormat="1" applyFont="1" applyFill="1" applyBorder="1"/>
    <x:xf numFmtId="0" fontId="13" fillId="8" borderId="4" xfId="0" applyNumberFormat="1" applyFont="1" applyFill="1" applyBorder="1"/>
    <x:xf numFmtId="0" fontId="13" fillId="8" borderId="5" xfId="0" applyNumberFormat="1" applyFont="1" applyFill="1" applyBorder="1"/>
    <x:xf numFmtId="0" fontId="13" fillId="8" borderId="6" xfId="0" applyNumberFormat="1" applyFont="1" applyFill="1" applyBorder="1"/>
    <x:xf numFmtId="0" fontId="13" fillId="8" borderId="7" xfId="0" applyNumberFormat="1" applyFont="1" applyFill="1" applyBorder="1"/>
    <x:xf numFmtId="0" fontId="13" fillId="8" borderId="2" xfId="0" applyNumberFormat="1" applyFont="1" applyFill="1" applyBorder="1" applyAlignment="1">
      <x:alignment wrapText="1"/>
    </x:xf>
    <x:xf numFmtId="0" fontId="13" fillId="8" borderId="3" xfId="0" applyNumberFormat="1" applyFont="1" applyFill="1" applyBorder="1" applyAlignment="1">
      <x:alignment wrapText="1"/>
    </x:xf>
    <x:xf numFmtId="0" fontId="13" fillId="8" borderId="4" xfId="0" applyNumberFormat="1" applyFont="1" applyFill="1" applyBorder="1" applyAlignment="1">
      <x:alignment wrapText="1"/>
    </x:xf>
    <x:xf numFmtId="0" fontId="13" fillId="8" borderId="5" xfId="0" applyNumberFormat="1" applyFont="1" applyFill="1" applyBorder="1" applyAlignment="1">
      <x:alignment wrapText="1"/>
    </x:xf>
    <x:xf numFmtId="0" fontId="13" fillId="8" borderId="6" xfId="0" applyNumberFormat="1" applyFont="1" applyFill="1" applyBorder="1" applyAlignment="1">
      <x:alignment wrapText="1"/>
    </x:xf>
    <x:xf numFmtId="0" fontId="13" fillId="8" borderId="7" xfId="0" applyNumberFormat="1" applyFont="1" applyFill="1" applyBorder="1" applyAlignment="1">
      <x:alignment wrapText="1"/>
    </x:xf>
    <x:xf numFmtId="0" fontId="13" fillId="8" borderId="2" xfId="0" applyNumberFormat="1" applyFont="1" applyFill="1" applyBorder="1" applyAlignment="1">
      <x:alignment horizontal="center" wrapText="1"/>
    </x:xf>
    <x:xf numFmtId="0" fontId="13" fillId="8" borderId="3" xfId="0" applyNumberFormat="1" applyFont="1" applyFill="1" applyBorder="1" applyAlignment="1">
      <x:alignment horizontal="center" wrapText="1"/>
    </x:xf>
    <x:xf numFmtId="0" fontId="13" fillId="8" borderId="4" xfId="0" applyNumberFormat="1" applyFont="1" applyFill="1" applyBorder="1" applyAlignment="1">
      <x:alignment horizontal="center" wrapText="1"/>
    </x:xf>
    <x:xf numFmtId="0" fontId="13" fillId="8" borderId="5" xfId="0" applyNumberFormat="1" applyFont="1" applyFill="1" applyBorder="1" applyAlignment="1">
      <x:alignment horizontal="center" wrapText="1"/>
    </x:xf>
    <x:xf numFmtId="0" fontId="13" fillId="8" borderId="6" xfId="0" applyNumberFormat="1" applyFont="1" applyFill="1" applyBorder="1" applyAlignment="1">
      <x:alignment horizontal="center" wrapText="1"/>
    </x:xf>
    <x:xf numFmtId="0" fontId="13" fillId="8" borderId="7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8" xfId="0" applyNumberFormat="1" applyFont="1" applyFill="1" applyBorder="1"/>
    <x:xf numFmtId="0" fontId="9" fillId="13" borderId="9" xfId="0" applyNumberFormat="1" applyFont="1" applyFill="1" applyBorder="1"/>
    <x:xf numFmtId="0" fontId="9" fillId="13" borderId="10" xfId="0" applyNumberFormat="1" applyFont="1" applyFill="1" applyBorder="1"/>
    <x:xf numFmtId="0" fontId="9" fillId="13" borderId="11" xfId="0" applyNumberFormat="1" applyFont="1" applyFill="1" applyBorder="1"/>
    <x:xf numFmtId="0" fontId="9" fillId="13" xfId="0" applyNumberFormat="1" applyFont="1" applyFill="1" applyBorder="0"/>
    <x:xf numFmtId="0" fontId="9" fillId="13" borderId="12" xfId="0" applyNumberFormat="1" applyFont="1" applyFill="1" applyBorder="1"/>
    <x:xf numFmtId="0" fontId="9" fillId="13" borderId="13" xfId="0" applyNumberFormat="1" applyFont="1" applyFill="1" applyBorder="1"/>
    <x:xf numFmtId="0" fontId="9" fillId="13" borderId="14" xfId="0" applyNumberFormat="1" applyFont="1" applyFill="1" applyBorder="1"/>
    <x:xf numFmtId="0" fontId="9" fillId="13" borderId="15" xfId="0" applyNumberFormat="1" applyFont="1" applyFill="1" applyBorder="1"/>
    <x:xf numFmtId="0" fontId="9" fillId="13" borderId="8" xfId="0" applyNumberFormat="1" applyFont="1" applyFill="1" applyBorder="1" applyAlignment="1">
      <x:alignment wrapText="1"/>
    </x:xf>
    <x:xf numFmtId="0" fontId="9" fillId="13" borderId="9" xfId="0" applyNumberFormat="1" applyFont="1" applyFill="1" applyBorder="1" applyAlignment="1">
      <x:alignment wrapText="1"/>
    </x:xf>
    <x:xf numFmtId="0" fontId="9" fillId="13" borderId="10" xfId="0" applyNumberFormat="1" applyFont="1" applyFill="1" applyBorder="1" applyAlignment="1">
      <x:alignment wrapText="1"/>
    </x:xf>
    <x:xf numFmtId="0" fontId="9" fillId="13" borderId="11" xfId="0" applyNumberFormat="1" applyFont="1" applyFill="1" applyBorder="1" applyAlignment="1">
      <x:alignment wrapText="1"/>
    </x:xf>
    <x:xf numFmtId="0" fontId="9" fillId="13" xfId="0" applyNumberFormat="1" applyFont="1" applyFill="1" applyBorder="0" applyAlignment="1">
      <x:alignment wrapText="1"/>
    </x:xf>
    <x:xf numFmtId="0" fontId="9" fillId="13" borderId="12" xfId="0" applyNumberFormat="1" applyFont="1" applyFill="1" applyBorder="1" applyAlignment="1">
      <x:alignment wrapText="1"/>
    </x:xf>
    <x:xf numFmtId="0" fontId="9" fillId="13" borderId="13" xfId="0" applyNumberFormat="1" applyFont="1" applyFill="1" applyBorder="1" applyAlignment="1">
      <x:alignment wrapText="1"/>
    </x:xf>
    <x:xf numFmtId="0" fontId="9" fillId="13" borderId="14" xfId="0" applyNumberFormat="1" applyFont="1" applyFill="1" applyBorder="1" applyAlignment="1">
      <x:alignment wrapText="1"/>
    </x:xf>
    <x:xf numFmtId="0" fontId="9" fillId="13" borderId="15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vertical="center" wrapText="1"/>
    </x:xf>
    <x:xf numFmtId="0" fontId="9" fillId="13" borderId="9" xfId="0" applyNumberFormat="1" applyFont="1" applyFill="1" applyBorder="1" applyAlignment="1">
      <x:alignment vertical="center" wrapText="1"/>
    </x:xf>
    <x:xf numFmtId="0" fontId="9" fillId="13" borderId="10" xfId="0" applyNumberFormat="1" applyFont="1" applyFill="1" applyBorder="1" applyAlignment="1">
      <x:alignment vertical="center" wrapText="1"/>
    </x:xf>
    <x:xf numFmtId="0" fontId="9" fillId="13" borderId="11" xfId="0" applyNumberFormat="1" applyFont="1" applyFill="1" applyBorder="1" applyAlignment="1">
      <x:alignment vertical="center" wrapText="1"/>
    </x:xf>
    <x:xf numFmtId="0" fontId="9" fillId="13" xfId="0" applyNumberFormat="1" applyFont="1" applyFill="1" applyBorder="0" applyAlignment="1">
      <x:alignment vertical="center" wrapText="1"/>
    </x:xf>
    <x:xf numFmtId="0" fontId="9" fillId="13" borderId="12" xfId="0" applyNumberFormat="1" applyFont="1" applyFill="1" applyBorder="1" applyAlignment="1">
      <x:alignment vertical="center" wrapText="1"/>
    </x:xf>
    <x:xf numFmtId="0" fontId="9" fillId="13" borderId="13" xfId="0" applyNumberFormat="1" applyFont="1" applyFill="1" applyBorder="1" applyAlignment="1">
      <x:alignment vertical="center" wrapText="1"/>
    </x:xf>
    <x:xf numFmtId="0" fontId="9" fillId="13" borderId="14" xfId="0" applyNumberFormat="1" applyFont="1" applyFill="1" applyBorder="1" applyAlignment="1">
      <x:alignment vertical="center" wrapText="1"/>
    </x:xf>
    <x:xf numFmtId="0" fontId="9" fillId="13" borderId="15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left" vertical="center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horizontal="center"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6" fillId="12" borderId="1" xfId="0" applyNumberFormat="1" applyFont="1" applyFill="1" applyBorder="1" applyAlignment="1">
      <x:alignment vertical="top" wrapText="1"/>
    </x:xf>
    <x:xf numFmtId="0" fontId="6" fillId="12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horizontal="center"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12" fillId="13" borderId="1" xfId="0" applyNumberFormat="1" applyFont="1" applyFill="1" applyBorder="1" applyAlignment="1">
      <x:alignment vertical="top" wrapText="1"/>
    </x:xf>
    <x:xf numFmtId="0" fontId="12" fillId="13" borderId="1" xfId="0" applyNumberFormat="1" applyFont="1" applyFill="1" applyBorder="1" applyAlignment="1">
      <x:alignment horizontal="center" vertical="top" wrapText="1"/>
    </x:xf>
    <x:xf numFmtId="0" fontId="13" fillId="14" borderId="2" xfId="0" applyNumberFormat="1" applyFont="1" applyFill="1" applyBorder="1" applyAlignment="1">
      <x:alignment horizontal="center" vertical="center" wrapText="1"/>
    </x:xf>
    <x:xf numFmtId="0" fontId="13" fillId="14" borderId="3" xfId="0" applyNumberFormat="1" applyFont="1" applyFill="1" applyBorder="1" applyAlignment="1">
      <x:alignment horizontal="center" vertical="center" wrapText="1"/>
    </x:xf>
    <x:xf numFmtId="0" fontId="13" fillId="14" borderId="4" xfId="0" applyNumberFormat="1" applyFont="1" applyFill="1" applyBorder="1" applyAlignment="1">
      <x:alignment horizontal="center" vertical="center" wrapText="1"/>
    </x:xf>
    <x:xf numFmtId="0" fontId="13" fillId="14" borderId="5" xfId="0" applyNumberFormat="1" applyFont="1" applyFill="1" applyBorder="1" applyAlignment="1">
      <x:alignment horizontal="center" vertical="center" wrapText="1"/>
    </x:xf>
    <x:xf numFmtId="0" fontId="13" fillId="14" borderId="6" xfId="0" applyNumberFormat="1" applyFont="1" applyFill="1" applyBorder="1" applyAlignment="1">
      <x:alignment horizontal="center" vertical="center" wrapText="1"/>
    </x:xf>
    <x:xf numFmtId="0" fontId="13" fillId="14" borderId="7" xfId="0" applyNumberFormat="1" applyFont="1" applyFill="1" applyBorder="1" applyAlignment="1">
      <x:alignment horizontal="center" vertical="center" wrapText="1"/>
    </x:xf>
    <x:xf numFmtId="0" fontId="7" fillId="14" borderId="2" xfId="0" applyNumberFormat="1" applyFont="1" applyFill="1" applyBorder="1" applyAlignment="1">
      <x:alignment horizontal="center" vertical="center" wrapText="1"/>
    </x:xf>
    <x:xf numFmtId="0" fontId="7" fillId="14" borderId="3" xfId="0" applyNumberFormat="1" applyFont="1" applyFill="1" applyBorder="1" applyAlignment="1">
      <x:alignment horizontal="center" vertical="center" wrapText="1"/>
    </x:xf>
    <x:xf numFmtId="0" fontId="7" fillId="14" borderId="4" xfId="0" applyNumberFormat="1" applyFont="1" applyFill="1" applyBorder="1" applyAlignment="1">
      <x:alignment horizontal="center" vertical="center" wrapText="1"/>
    </x:xf>
    <x:xf numFmtId="0" fontId="7" fillId="14" borderId="5" xfId="0" applyNumberFormat="1" applyFont="1" applyFill="1" applyBorder="1" applyAlignment="1">
      <x:alignment horizontal="center" vertical="center" wrapText="1"/>
    </x:xf>
    <x:xf numFmtId="0" fontId="7" fillId="14" borderId="6" xfId="0" applyNumberFormat="1" applyFont="1" applyFill="1" applyBorder="1" applyAlignment="1">
      <x:alignment horizontal="center" vertical="center" wrapText="1"/>
    </x:xf>
    <x:xf numFmtId="0" fontId="7" fillId="14" borderId="7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5" fillId="14" borderId="1" xfId="0" applyNumberFormat="1" applyFont="1" applyFill="1" applyBorder="1" applyAlignment="1">
      <x:alignment horizontal="center" vertical="top" wrapText="1"/>
    </x:xf>
    <x:xf numFmtId="0" fontId="4" fillId="14" borderId="1" xfId="0" applyNumberFormat="1" applyFont="1" applyFill="1" applyBorder="1" applyAlignment="1">
      <x:alignment horizontal="center" vertical="top" wrapText="1"/>
    </x:xf>
    <x:xf numFmtId="0" fontId="6" fillId="14" borderId="1" xfId="0" applyNumberFormat="1" applyFont="1" applyFill="1" applyBorder="1" applyAlignment="1">
      <x:alignment horizontal="center" vertical="top" wrapText="1"/>
    </x:xf>
    <x:xf numFmtId="0" fontId="6" fillId="16" borderId="1" xfId="0" applyNumberFormat="1" applyFont="1" applyFill="1" applyBorder="1" applyAlignment="1">
      <x:alignment horizontal="center" vertical="top" wrapText="1"/>
    </x:xf>
    <x:xf numFmtId="0" fontId="9" fillId="15" borderId="0" xfId="0" applyNumberFormat="1" applyFont="1" applyFill="1" applyBorder="1"/>
    <x:xf numFmtId="0" fontId="9" fillId="15" borderId="8" xfId="0" applyNumberFormat="1" applyFont="1" applyFill="1" applyBorder="1"/>
    <x:xf numFmtId="0" fontId="9" fillId="15" borderId="9" xfId="0" applyNumberFormat="1" applyFont="1" applyFill="1" applyBorder="1"/>
    <x:xf numFmtId="0" fontId="9" fillId="15" borderId="10" xfId="0" applyNumberFormat="1" applyFont="1" applyFill="1" applyBorder="1"/>
    <x:xf numFmtId="0" fontId="9" fillId="15" borderId="11" xfId="0" applyNumberFormat="1" applyFont="1" applyFill="1" applyBorder="1"/>
    <x:xf numFmtId="0" fontId="9" fillId="15" xfId="0" applyNumberFormat="1" applyFont="1" applyFill="1" applyBorder="0"/>
    <x:xf numFmtId="0" fontId="9" fillId="15" borderId="12" xfId="0" applyNumberFormat="1" applyFont="1" applyFill="1" applyBorder="1"/>
    <x:xf numFmtId="0" fontId="9" fillId="15" borderId="13" xfId="0" applyNumberFormat="1" applyFont="1" applyFill="1" applyBorder="1"/>
    <x:xf numFmtId="0" fontId="9" fillId="15" borderId="14" xfId="0" applyNumberFormat="1" applyFont="1" applyFill="1" applyBorder="1"/>
    <x:xf numFmtId="0" fontId="9" fillId="15" borderId="15" xfId="0" applyNumberFormat="1" applyFont="1" applyFill="1" applyBorder="1"/>
    <x:xf numFmtId="0" fontId="9" fillId="15" borderId="8" xfId="0" applyNumberFormat="1" applyFont="1" applyFill="1" applyBorder="1" applyAlignment="1">
      <x:alignment wrapText="1"/>
    </x:xf>
    <x:xf numFmtId="0" fontId="9" fillId="15" borderId="9" xfId="0" applyNumberFormat="1" applyFont="1" applyFill="1" applyBorder="1" applyAlignment="1">
      <x:alignment wrapText="1"/>
    </x:xf>
    <x:xf numFmtId="0" fontId="9" fillId="15" borderId="10" xfId="0" applyNumberFormat="1" applyFont="1" applyFill="1" applyBorder="1" applyAlignment="1">
      <x:alignment wrapText="1"/>
    </x:xf>
    <x:xf numFmtId="0" fontId="9" fillId="15" borderId="11" xfId="0" applyNumberFormat="1" applyFont="1" applyFill="1" applyBorder="1" applyAlignment="1">
      <x:alignment wrapText="1"/>
    </x:xf>
    <x:xf numFmtId="0" fontId="9" fillId="15" xfId="0" applyNumberFormat="1" applyFont="1" applyFill="1" applyBorder="0" applyAlignment="1">
      <x:alignment wrapText="1"/>
    </x:xf>
    <x:xf numFmtId="0" fontId="9" fillId="15" borderId="12" xfId="0" applyNumberFormat="1" applyFont="1" applyFill="1" applyBorder="1" applyAlignment="1">
      <x:alignment wrapText="1"/>
    </x:xf>
    <x:xf numFmtId="0" fontId="9" fillId="15" borderId="13" xfId="0" applyNumberFormat="1" applyFont="1" applyFill="1" applyBorder="1" applyAlignment="1">
      <x:alignment wrapText="1"/>
    </x:xf>
    <x:xf numFmtId="0" fontId="9" fillId="15" borderId="14" xfId="0" applyNumberFormat="1" applyFont="1" applyFill="1" applyBorder="1" applyAlignment="1">
      <x:alignment wrapText="1"/>
    </x:xf>
    <x:xf numFmtId="0" fontId="9" fillId="15" borderId="15" xfId="0" applyNumberFormat="1" applyFont="1" applyFill="1" applyBorder="1" applyAlignment="1">
      <x:alignment wrapText="1"/>
    </x:xf>
    <x:xf numFmtId="0" fontId="9" fillId="15" borderId="8" xfId="0" applyNumberFormat="1" applyFont="1" applyFill="1" applyBorder="1" applyAlignment="1">
      <x:alignment vertical="center" wrapText="1"/>
    </x:xf>
    <x:xf numFmtId="0" fontId="9" fillId="15" borderId="9" xfId="0" applyNumberFormat="1" applyFont="1" applyFill="1" applyBorder="1" applyAlignment="1">
      <x:alignment vertical="center" wrapText="1"/>
    </x:xf>
    <x:xf numFmtId="0" fontId="9" fillId="15" borderId="10" xfId="0" applyNumberFormat="1" applyFont="1" applyFill="1" applyBorder="1" applyAlignment="1">
      <x:alignment vertical="center" wrapText="1"/>
    </x:xf>
    <x:xf numFmtId="0" fontId="9" fillId="15" borderId="11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vertical="center" wrapText="1"/>
    </x:xf>
    <x:xf numFmtId="0" fontId="9" fillId="15" borderId="12" xfId="0" applyNumberFormat="1" applyFont="1" applyFill="1" applyBorder="1" applyAlignment="1">
      <x:alignment vertical="center" wrapText="1"/>
    </x:xf>
    <x:xf numFmtId="0" fontId="9" fillId="15" borderId="13" xfId="0" applyNumberFormat="1" applyFont="1" applyFill="1" applyBorder="1" applyAlignment="1">
      <x:alignment vertical="center" wrapText="1"/>
    </x:xf>
    <x:xf numFmtId="0" fontId="9" fillId="15" borderId="14" xfId="0" applyNumberFormat="1" applyFont="1" applyFill="1" applyBorder="1" applyAlignment="1">
      <x:alignment vertical="center" wrapText="1"/>
    </x:xf>
    <x:xf numFmtId="0" fontId="9" fillId="15" borderId="15" xfId="0" applyNumberFormat="1" applyFont="1" applyFill="1" applyBorder="1" applyAlignment="1">
      <x:alignment vertical="center" wrapText="1"/>
    </x:xf>
    <x:xf numFmtId="0" fontId="7" fillId="17" borderId="2" xfId="0" applyNumberFormat="1" applyFont="1" applyFill="1" applyBorder="1" applyAlignment="1">
      <x:alignment horizontal="center" vertical="center" wrapText="1"/>
    </x:xf>
    <x:xf numFmtId="0" fontId="7" fillId="17" borderId="3" xfId="0" applyNumberFormat="1" applyFont="1" applyFill="1" applyBorder="1" applyAlignment="1">
      <x:alignment horizontal="center" vertical="center" wrapText="1"/>
    </x:xf>
    <x:xf numFmtId="0" fontId="7" fillId="17" borderId="4" xfId="0" applyNumberFormat="1" applyFont="1" applyFill="1" applyBorder="1" applyAlignment="1">
      <x:alignment horizontal="center" vertical="center" wrapText="1"/>
    </x:xf>
    <x:xf numFmtId="0" fontId="7" fillId="17" borderId="5" xfId="0" applyNumberFormat="1" applyFont="1" applyFill="1" applyBorder="1" applyAlignment="1">
      <x:alignment horizontal="center" vertical="center" wrapText="1"/>
    </x:xf>
    <x:xf numFmtId="0" fontId="7" fillId="17" borderId="6" xfId="0" applyNumberFormat="1" applyFont="1" applyFill="1" applyBorder="1" applyAlignment="1">
      <x:alignment horizontal="center" vertical="center" wrapText="1"/>
    </x:xf>
    <x:xf numFmtId="0" fontId="7" fillId="17" borderId="7" xfId="0" applyNumberFormat="1" applyFont="1" applyFill="1" applyBorder="1" applyAlignment="1">
      <x:alignment horizontal="center" vertical="center" wrapText="1"/>
    </x:xf>
    <x:xf numFmtId="0" fontId="12" fillId="18" borderId="0" xfId="0" applyNumberFormat="1" applyFont="1" applyFill="1" applyBorder="1"/>
    <x:xf numFmtId="0" fontId="4" fillId="17" borderId="1" xfId="0" applyNumberFormat="1" applyFont="1" applyFill="1" applyBorder="1" applyAlignment="1">
      <x:alignment horizontal="center" vertical="top" wrapText="1"/>
    </x:xf>
    <x:xf numFmtId="0" fontId="6" fillId="19" borderId="1" xfId="0" applyNumberFormat="1" applyFont="1" applyFill="1" applyBorder="1" applyAlignment="1">
      <x:alignment horizontal="center" vertical="top" wrapText="1"/>
    </x:xf>
    <x:xf numFmtId="0" fontId="9" fillId="18" borderId="8" xfId="0" applyNumberFormat="1" applyFont="1" applyFill="1" applyBorder="1" applyAlignment="1">
      <x:alignment vertical="center" wrapText="1"/>
    </x:xf>
    <x:xf numFmtId="0" fontId="9" fillId="18" borderId="9" xfId="0" applyNumberFormat="1" applyFont="1" applyFill="1" applyBorder="1" applyAlignment="1">
      <x:alignment vertical="center" wrapText="1"/>
    </x:xf>
    <x:xf numFmtId="0" fontId="9" fillId="18" borderId="10" xfId="0" applyNumberFormat="1" applyFont="1" applyFill="1" applyBorder="1" applyAlignment="1">
      <x:alignment vertical="center" wrapText="1"/>
    </x:xf>
    <x:xf numFmtId="0" fontId="9" fillId="18" borderId="11" xfId="0" applyNumberFormat="1" applyFont="1" applyFill="1" applyBorder="1" applyAlignment="1">
      <x:alignment vertical="center" wrapText="1"/>
    </x:xf>
    <x:xf numFmtId="0" fontId="9" fillId="18" xfId="0" applyNumberFormat="1" applyFont="1" applyFill="1" applyBorder="0" applyAlignment="1">
      <x:alignment vertical="center" wrapText="1"/>
    </x:xf>
    <x:xf numFmtId="0" fontId="9" fillId="18" borderId="12" xfId="0" applyNumberFormat="1" applyFont="1" applyFill="1" applyBorder="1" applyAlignment="1">
      <x:alignment vertical="center" wrapText="1"/>
    </x:xf>
    <x:xf numFmtId="0" fontId="9" fillId="18" borderId="13" xfId="0" applyNumberFormat="1" applyFont="1" applyFill="1" applyBorder="1" applyAlignment="1">
      <x:alignment vertical="center" wrapText="1"/>
    </x:xf>
    <x:xf numFmtId="0" fontId="9" fillId="18" borderId="14" xfId="0" applyNumberFormat="1" applyFont="1" applyFill="1" applyBorder="1" applyAlignment="1">
      <x:alignment vertical="center" wrapText="1"/>
    </x:xf>
    <x:xf numFmtId="0" fontId="9" fillId="18" borderId="15" xfId="0" applyNumberFormat="1" applyFont="1" applyFill="1" applyBorder="1" applyAlignment="1">
      <x:alignment vertical="center" wrapText="1"/>
    </x:xf>
    <x:xf numFmtId="0" fontId="7" fillId="20" borderId="2" xfId="0" applyNumberFormat="1" applyFont="1" applyFill="1" applyBorder="1" applyAlignment="1">
      <x:alignment horizontal="center" vertical="center" wrapText="1"/>
    </x:xf>
    <x:xf numFmtId="0" fontId="7" fillId="20" borderId="3" xfId="0" applyNumberFormat="1" applyFont="1" applyFill="1" applyBorder="1" applyAlignment="1">
      <x:alignment horizontal="center" vertical="center" wrapText="1"/>
    </x:xf>
    <x:xf numFmtId="0" fontId="7" fillId="20" borderId="4" xfId="0" applyNumberFormat="1" applyFont="1" applyFill="1" applyBorder="1" applyAlignment="1">
      <x:alignment horizontal="center" vertical="center" wrapText="1"/>
    </x:xf>
    <x:xf numFmtId="0" fontId="7" fillId="20" borderId="5" xfId="0" applyNumberFormat="1" applyFont="1" applyFill="1" applyBorder="1" applyAlignment="1">
      <x:alignment horizontal="center" vertical="center" wrapText="1"/>
    </x:xf>
    <x:xf numFmtId="0" fontId="7" fillId="20" borderId="6" xfId="0" applyNumberFormat="1" applyFont="1" applyFill="1" applyBorder="1" applyAlignment="1">
      <x:alignment horizontal="center" vertical="center" wrapText="1"/>
    </x:xf>
    <x:xf numFmtId="0" fontId="7" fillId="20" borderId="7" xfId="0" applyNumberFormat="1" applyFont="1" applyFill="1" applyBorder="1" applyAlignment="1">
      <x:alignment horizontal="center" vertical="center" wrapText="1"/>
    </x:xf>
    <x:xf numFmtId="0" fontId="12" fillId="21" borderId="0" xfId="0" applyNumberFormat="1" applyFont="1" applyFill="1" applyBorder="1"/>
    <x:xf numFmtId="0" fontId="4" fillId="20" borderId="1" xfId="0" applyNumberFormat="1" applyFont="1" applyFill="1" applyBorder="1" applyAlignment="1">
      <x:alignment horizontal="center" vertical="top" wrapText="1"/>
    </x:xf>
    <x:xf numFmtId="0" fontId="6" fillId="20" borderId="1" xfId="0" applyNumberFormat="1" applyFont="1" applyFill="1" applyBorder="1" applyAlignment="1">
      <x:alignment horizontal="center" vertical="top" wrapText="1"/>
    </x:xf>
    <x:xf numFmtId="0" fontId="6" fillId="22" borderId="1" xfId="0" applyNumberFormat="1" applyFont="1" applyFill="1" applyBorder="1" applyAlignment="1">
      <x:alignment horizontal="center" vertical="top" wrapText="1"/>
    </x:xf>
    <x:xf numFmtId="0" fontId="9" fillId="21" borderId="8" xfId="0" applyNumberFormat="1" applyFont="1" applyFill="1" applyBorder="1" applyAlignment="1">
      <x:alignment vertical="center" wrapText="1"/>
    </x:xf>
    <x:xf numFmtId="0" fontId="9" fillId="21" borderId="9" xfId="0" applyNumberFormat="1" applyFont="1" applyFill="1" applyBorder="1" applyAlignment="1">
      <x:alignment vertical="center" wrapText="1"/>
    </x:xf>
    <x:xf numFmtId="0" fontId="9" fillId="21" borderId="10" xfId="0" applyNumberFormat="1" applyFont="1" applyFill="1" applyBorder="1" applyAlignment="1">
      <x:alignment vertical="center" wrapText="1"/>
    </x:xf>
    <x:xf numFmtId="0" fontId="9" fillId="21" borderId="11" xfId="0" applyNumberFormat="1" applyFont="1" applyFill="1" applyBorder="1" applyAlignment="1">
      <x:alignment vertical="center" wrapText="1"/>
    </x:xf>
    <x:xf numFmtId="0" fontId="9" fillId="21" xfId="0" applyNumberFormat="1" applyFont="1" applyFill="1" applyBorder="0" applyAlignment="1">
      <x:alignment vertical="center" wrapText="1"/>
    </x:xf>
    <x:xf numFmtId="0" fontId="9" fillId="21" borderId="12" xfId="0" applyNumberFormat="1" applyFont="1" applyFill="1" applyBorder="1" applyAlignment="1">
      <x:alignment vertical="center" wrapText="1"/>
    </x:xf>
    <x:xf numFmtId="0" fontId="9" fillId="21" borderId="13" xfId="0" applyNumberFormat="1" applyFont="1" applyFill="1" applyBorder="1" applyAlignment="1">
      <x:alignment vertical="center" wrapText="1"/>
    </x:xf>
    <x:xf numFmtId="0" fontId="9" fillId="21" borderId="14" xfId="0" applyNumberFormat="1" applyFont="1" applyFill="1" applyBorder="1" applyAlignment="1">
      <x:alignment vertical="center" wrapText="1"/>
    </x:xf>
    <x:xf numFmtId="0" fontId="9" fillId="21" borderId="15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8" fillId="23" borderId="0" xfId="0" applyNumberFormat="1" applyFont="1" applyFill="1" applyBorder="1"/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horizontal="center"/>
    </x:xf>
    <x:xf numFmtId="0" fontId="8" fillId="2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0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14" fillId="24" borderId="0" xfId="0" applyNumberFormat="1" applyFont="1" applyFill="1" applyBorder="1"/>
    <x:xf numFmtId="0" fontId="14" fillId="24" borderId="0" xfId="0" applyNumberFormat="1" applyFont="1" applyFill="1" applyBorder="1" applyAlignment="1">
      <x:alignment vertical="center"/>
    </x:xf>
    <x:xf numFmtId="0" fontId="8" fillId="24" borderId="0" xfId="0" applyNumberFormat="1" applyFont="1" applyFill="1" applyBorder="1"/>
    <x:xf numFmtId="0" fontId="8" fillId="24" borderId="16" xfId="0" applyNumberFormat="1" applyFont="1" applyFill="1" applyBorder="1"/>
    <x:xf numFmtId="0" fontId="8" fillId="24" borderId="16" xfId="0" applyNumberFormat="1" applyFont="1" applyFill="1" applyBorder="1" applyAlignment="1">
      <x:alignment wrapText="1"/>
    </x:xf>
    <x:xf numFmtId="0" fontId="8" fillId="24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25" borderId="16" xfId="0" applyNumberFormat="1" applyFont="1" applyFill="1" applyBorder="1" applyAlignment="1">
      <x:alignment vertical="top" wrapText="1"/>
    </x:xf>
    <x:xf numFmtId="0" fontId="4" fillId="25" borderId="16" xfId="0" applyNumberFormat="1" applyFont="1" applyFill="1" applyBorder="1" applyAlignment="1">
      <x:alignment vertical="top" wrapText="1"/>
    </x:xf>
    <x:xf numFmtId="0" fontId="0" fillId="26" borderId="16" xfId="0" applyNumberFormat="1" applyFont="1" applyFill="1" applyBorder="1" applyAlignment="1">
      <x:alignment vertical="top" wrapText="1"/>
    </x:xf>
    <x:xf numFmtId="0" fontId="15" fillId="26" borderId="16" xfId="0" applyNumberFormat="1" applyFont="1" applyFill="1" applyBorder="1" applyAlignment="1">
      <x:alignment vertical="top" wrapText="1"/>
    </x:xf>
    <x:xf numFmtId="0" fontId="0" fillId="27" borderId="16" xfId="0" applyNumberFormat="1" applyFont="1" applyFill="1" applyBorder="1" applyAlignment="1">
      <x:alignment vertical="top" wrapText="1"/>
    </x:xf>
    <x:xf numFmtId="0" fontId="6" fillId="27" borderId="16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/>
    <x:xf numFmtId="0" fontId="16" fillId="27" borderId="0" xfId="0" applyNumberFormat="1" applyFont="1" applyFill="1" applyBorder="1"/>
    <x:xf numFmtId="0" fontId="16" fillId="27" borderId="2" xfId="0" applyNumberFormat="1" applyFont="1" applyFill="1" applyBorder="1"/>
    <x:xf numFmtId="0" fontId="16" fillId="27" borderId="17" xfId="0" applyNumberFormat="1" applyFont="1" applyFill="1" applyBorder="1"/>
    <x:xf numFmtId="0" fontId="16" fillId="27" borderId="3" xfId="0" applyNumberFormat="1" applyFont="1" applyFill="1" applyBorder="1"/>
    <x:xf numFmtId="0" fontId="16" fillId="27" borderId="4" xfId="0" applyNumberFormat="1" applyFont="1" applyFill="1" applyBorder="1"/>
    <x:xf numFmtId="0" fontId="16" fillId="27" xfId="0" applyNumberFormat="1" applyFont="1" applyFill="1" applyBorder="0"/>
    <x:xf numFmtId="0" fontId="16" fillId="27" borderId="5" xfId="0" applyNumberFormat="1" applyFont="1" applyFill="1" applyBorder="1"/>
    <x:xf numFmtId="0" fontId="16" fillId="27" borderId="6" xfId="0" applyNumberFormat="1" applyFont="1" applyFill="1" applyBorder="1"/>
    <x:xf numFmtId="0" fontId="16" fillId="27" borderId="18" xfId="0" applyNumberFormat="1" applyFont="1" applyFill="1" applyBorder="1"/>
    <x:xf numFmtId="0" fontId="16" fillId="27" borderId="7" xfId="0" applyNumberFormat="1" applyFont="1" applyFill="1" applyBorder="1"/>
    <x:xf numFmtId="0" fontId="16" fillId="27" borderId="2" xfId="0" applyNumberFormat="1" applyFont="1" applyFill="1" applyBorder="1" applyAlignment="1">
      <x:alignment wrapText="1"/>
    </x:xf>
    <x:xf numFmtId="0" fontId="16" fillId="27" borderId="17" xfId="0" applyNumberFormat="1" applyFont="1" applyFill="1" applyBorder="1" applyAlignment="1">
      <x:alignment wrapText="1"/>
    </x:xf>
    <x:xf numFmtId="0" fontId="16" fillId="27" borderId="3" xfId="0" applyNumberFormat="1" applyFont="1" applyFill="1" applyBorder="1" applyAlignment="1">
      <x:alignment wrapText="1"/>
    </x:xf>
    <x:xf numFmtId="0" fontId="16" fillId="27" borderId="4" xfId="0" applyNumberFormat="1" applyFont="1" applyFill="1" applyBorder="1" applyAlignment="1">
      <x:alignment wrapText="1"/>
    </x:xf>
    <x:xf numFmtId="0" fontId="16" fillId="27" xfId="0" applyNumberFormat="1" applyFont="1" applyFill="1" applyBorder="0" applyAlignment="1">
      <x:alignment wrapText="1"/>
    </x:xf>
    <x:xf numFmtId="0" fontId="16" fillId="27" borderId="5" xfId="0" applyNumberFormat="1" applyFont="1" applyFill="1" applyBorder="1" applyAlignment="1">
      <x:alignment wrapText="1"/>
    </x:xf>
    <x:xf numFmtId="0" fontId="16" fillId="27" borderId="6" xfId="0" applyNumberFormat="1" applyFont="1" applyFill="1" applyBorder="1" applyAlignment="1">
      <x:alignment wrapText="1"/>
    </x:xf>
    <x:xf numFmtId="0" fontId="16" fillId="27" borderId="18" xfId="0" applyNumberFormat="1" applyFont="1" applyFill="1" applyBorder="1" applyAlignment="1">
      <x:alignment wrapText="1"/>
    </x:xf>
    <x:xf numFmtId="0" fontId="16" fillId="27" borderId="7" xfId="0" applyNumberFormat="1" applyFont="1" applyFill="1" applyBorder="1" applyAlignment="1">
      <x:alignment wrapText="1"/>
    </x:xf>
    <x:xf numFmtId="0" fontId="16" fillId="27" borderId="2" xfId="0" applyNumberFormat="1" applyFont="1" applyFill="1" applyBorder="1" applyAlignment="1">
      <x:alignment horizontal="center" wrapText="1"/>
    </x:xf>
    <x:xf numFmtId="0" fontId="16" fillId="27" borderId="17" xfId="0" applyNumberFormat="1" applyFont="1" applyFill="1" applyBorder="1" applyAlignment="1">
      <x:alignment horizontal="center" wrapText="1"/>
    </x:xf>
    <x:xf numFmtId="0" fontId="16" fillId="27" borderId="3" xfId="0" applyNumberFormat="1" applyFont="1" applyFill="1" applyBorder="1" applyAlignment="1">
      <x:alignment horizontal="center" wrapText="1"/>
    </x:xf>
    <x:xf numFmtId="0" fontId="16" fillId="27" borderId="4" xfId="0" applyNumberFormat="1" applyFont="1" applyFill="1" applyBorder="1" applyAlignment="1">
      <x:alignment horizontal="center" wrapText="1"/>
    </x:xf>
    <x:xf numFmtId="0" fontId="16" fillId="27" xfId="0" applyNumberFormat="1" applyFont="1" applyFill="1" applyBorder="0" applyAlignment="1">
      <x:alignment horizontal="center" wrapText="1"/>
    </x:xf>
    <x:xf numFmtId="0" fontId="16" fillId="27" borderId="5" xfId="0" applyNumberFormat="1" applyFont="1" applyFill="1" applyBorder="1" applyAlignment="1">
      <x:alignment horizontal="center" wrapText="1"/>
    </x:xf>
    <x:xf numFmtId="0" fontId="16" fillId="27" borderId="6" xfId="0" applyNumberFormat="1" applyFont="1" applyFill="1" applyBorder="1" applyAlignment="1">
      <x:alignment horizontal="center" wrapText="1"/>
    </x:xf>
    <x:xf numFmtId="0" fontId="16" fillId="27" borderId="18" xfId="0" applyNumberFormat="1" applyFont="1" applyFill="1" applyBorder="1" applyAlignment="1">
      <x:alignment horizontal="center" wrapText="1"/>
    </x:xf>
    <x:xf numFmtId="0" fontId="16" fillId="27" borderId="7" xfId="0" applyNumberFormat="1" applyFont="1" applyFill="1" applyBorder="1" applyAlignment="1">
      <x:alignment horizontal="center" wrapText="1"/>
    </x:xf>
    <x:xf numFmtId="0" fontId="16" fillId="27" borderId="2" xfId="0" applyNumberFormat="1" applyFont="1" applyFill="1" applyBorder="1" applyAlignment="1">
      <x:alignment horizontal="center" vertical="center" wrapText="1"/>
    </x:xf>
    <x:xf numFmtId="0" fontId="16" fillId="27" borderId="17" xfId="0" applyNumberFormat="1" applyFont="1" applyFill="1" applyBorder="1" applyAlignment="1">
      <x:alignment horizontal="center" vertical="center" wrapText="1"/>
    </x:xf>
    <x:xf numFmtId="0" fontId="16" fillId="27" borderId="3" xfId="0" applyNumberFormat="1" applyFont="1" applyFill="1" applyBorder="1" applyAlignment="1">
      <x:alignment horizontal="center" vertical="center" wrapText="1"/>
    </x:xf>
    <x:xf numFmtId="0" fontId="16" fillId="27" borderId="4" xfId="0" applyNumberFormat="1" applyFont="1" applyFill="1" applyBorder="1" applyAlignment="1">
      <x:alignment horizontal="center" vertical="center" wrapText="1"/>
    </x:xf>
    <x:xf numFmtId="0" fontId="16" fillId="27" xfId="0" applyNumberFormat="1" applyFont="1" applyFill="1" applyBorder="0" applyAlignment="1">
      <x:alignment horizontal="center" vertical="center" wrapText="1"/>
    </x:xf>
    <x:xf numFmtId="0" fontId="16" fillId="27" borderId="5" xfId="0" applyNumberFormat="1" applyFont="1" applyFill="1" applyBorder="1" applyAlignment="1">
      <x:alignment horizontal="center" vertical="center" wrapText="1"/>
    </x:xf>
    <x:xf numFmtId="0" fontId="16" fillId="27" borderId="6" xfId="0" applyNumberFormat="1" applyFont="1" applyFill="1" applyBorder="1" applyAlignment="1">
      <x:alignment horizontal="center" vertical="center" wrapText="1"/>
    </x:xf>
    <x:xf numFmtId="0" fontId="16" fillId="27" borderId="18" xfId="0" applyNumberFormat="1" applyFont="1" applyFill="1" applyBorder="1" applyAlignment="1">
      <x:alignment horizontal="center" vertical="center" wrapText="1"/>
    </x:xf>
    <x:xf numFmtId="0" fontId="16" fillId="27" borderId="7" xfId="0" applyNumberFormat="1" applyFont="1" applyFill="1" applyBorder="1" applyAlignment="1">
      <x:alignment horizontal="center" vertical="center" wrapText="1"/>
    </x:xf>
    <x:xf numFmtId="0" fontId="4" fillId="25" borderId="16" xfId="0" applyNumberFormat="1" applyFont="1" applyFill="1" applyBorder="1" applyAlignment="1">
      <x:alignment horizontal="center" vertical="top" wrapText="1"/>
    </x:xf>
    <x:xf numFmtId="0" fontId="6" fillId="27" borderId="16" xfId="0" applyNumberFormat="1" applyFont="1" applyFill="1" applyBorder="1" applyAlignment="1">
      <x:alignment horizontal="center" vertical="top" wrapText="1"/>
    </x:xf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9" fillId="28" borderId="8" xfId="0" applyNumberFormat="1" applyFont="1" applyFill="1" applyBorder="1"/>
    <x:xf numFmtId="0" fontId="9" fillId="28" borderId="9" xfId="0" applyNumberFormat="1" applyFont="1" applyFill="1" applyBorder="1"/>
    <x:xf numFmtId="0" fontId="9" fillId="28" borderId="10" xfId="0" applyNumberFormat="1" applyFont="1" applyFill="1" applyBorder="1"/>
    <x:xf numFmtId="0" fontId="9" fillId="28" borderId="11" xfId="0" applyNumberFormat="1" applyFont="1" applyFill="1" applyBorder="1"/>
    <x:xf numFmtId="0" fontId="9" fillId="28" xfId="0" applyNumberFormat="1" applyFont="1" applyFill="1" applyBorder="0"/>
    <x:xf numFmtId="0" fontId="9" fillId="28" borderId="12" xfId="0" applyNumberFormat="1" applyFont="1" applyFill="1" applyBorder="1"/>
    <x:xf numFmtId="0" fontId="9" fillId="28" borderId="13" xfId="0" applyNumberFormat="1" applyFont="1" applyFill="1" applyBorder="1"/>
    <x:xf numFmtId="0" fontId="9" fillId="28" borderId="14" xfId="0" applyNumberFormat="1" applyFont="1" applyFill="1" applyBorder="1"/>
    <x:xf numFmtId="0" fontId="9" fillId="28" borderId="15" xfId="0" applyNumberFormat="1" applyFont="1" applyFill="1" applyBorder="1"/>
    <x:xf numFmtId="0" fontId="9" fillId="28" borderId="8" xfId="0" applyNumberFormat="1" applyFont="1" applyFill="1" applyBorder="1" applyAlignment="1">
      <x:alignment wrapText="1"/>
    </x:xf>
    <x:xf numFmtId="0" fontId="9" fillId="28" borderId="9" xfId="0" applyNumberFormat="1" applyFont="1" applyFill="1" applyBorder="1" applyAlignment="1">
      <x:alignment wrapText="1"/>
    </x:xf>
    <x:xf numFmtId="0" fontId="9" fillId="28" borderId="10" xfId="0" applyNumberFormat="1" applyFont="1" applyFill="1" applyBorder="1" applyAlignment="1">
      <x:alignment wrapText="1"/>
    </x:xf>
    <x:xf numFmtId="0" fontId="9" fillId="28" borderId="11" xfId="0" applyNumberFormat="1" applyFont="1" applyFill="1" applyBorder="1" applyAlignment="1">
      <x:alignment wrapText="1"/>
    </x:xf>
    <x:xf numFmtId="0" fontId="9" fillId="28" xfId="0" applyNumberFormat="1" applyFont="1" applyFill="1" applyBorder="0" applyAlignment="1">
      <x:alignment wrapText="1"/>
    </x:xf>
    <x:xf numFmtId="0" fontId="9" fillId="28" borderId="12" xfId="0" applyNumberFormat="1" applyFont="1" applyFill="1" applyBorder="1" applyAlignment="1">
      <x:alignment wrapText="1"/>
    </x:xf>
    <x:xf numFmtId="0" fontId="9" fillId="28" borderId="13" xfId="0" applyNumberFormat="1" applyFont="1" applyFill="1" applyBorder="1" applyAlignment="1">
      <x:alignment wrapText="1"/>
    </x:xf>
    <x:xf numFmtId="0" fontId="9" fillId="28" borderId="14" xfId="0" applyNumberFormat="1" applyFont="1" applyFill="1" applyBorder="1" applyAlignment="1">
      <x:alignment wrapText="1"/>
    </x:xf>
    <x:xf numFmtId="0" fontId="9" fillId="28" borderId="15" xfId="0" applyNumberFormat="1" applyFont="1" applyFill="1" applyBorder="1" applyAlignment="1">
      <x:alignment wrapText="1"/>
    </x:xf>
    <x:xf numFmtId="0" fontId="9" fillId="28" borderId="8" xfId="0" applyNumberFormat="1" applyFont="1" applyFill="1" applyBorder="1" applyAlignment="1">
      <x:alignment vertical="center" wrapText="1"/>
    </x:xf>
    <x:xf numFmtId="0" fontId="9" fillId="28" borderId="9" xfId="0" applyNumberFormat="1" applyFont="1" applyFill="1" applyBorder="1" applyAlignment="1">
      <x:alignment vertical="center" wrapText="1"/>
    </x:xf>
    <x:xf numFmtId="0" fontId="9" fillId="28" borderId="10" xfId="0" applyNumberFormat="1" applyFont="1" applyFill="1" applyBorder="1" applyAlignment="1">
      <x:alignment vertical="center" wrapText="1"/>
    </x:xf>
    <x:xf numFmtId="0" fontId="9" fillId="28" borderId="11" xfId="0" applyNumberFormat="1" applyFont="1" applyFill="1" applyBorder="1" applyAlignment="1">
      <x:alignment vertical="center" wrapText="1"/>
    </x:xf>
    <x:xf numFmtId="0" fontId="9" fillId="28" xfId="0" applyNumberFormat="1" applyFont="1" applyFill="1" applyBorder="0" applyAlignment="1">
      <x:alignment vertical="center" wrapText="1"/>
    </x:xf>
    <x:xf numFmtId="0" fontId="9" fillId="28" borderId="12" xfId="0" applyNumberFormat="1" applyFont="1" applyFill="1" applyBorder="1" applyAlignment="1">
      <x:alignment vertical="center" wrapText="1"/>
    </x:xf>
    <x:xf numFmtId="0" fontId="9" fillId="28" borderId="13" xfId="0" applyNumberFormat="1" applyFont="1" applyFill="1" applyBorder="1" applyAlignment="1">
      <x:alignment vertical="center" wrapText="1"/>
    </x:xf>
    <x:xf numFmtId="0" fontId="9" fillId="28" borderId="14" xfId="0" applyNumberFormat="1" applyFont="1" applyFill="1" applyBorder="1" applyAlignment="1">
      <x:alignment vertical="center" wrapText="1"/>
    </x:xf>
    <x:xf numFmtId="0" fontId="9" fillId="28" borderId="15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1" fillId="29" borderId="0" xfId="0" applyNumberFormat="1" applyFont="1" applyFill="1" applyBorder="1"/>
    <x:xf numFmtId="0" fontId="11" fillId="29" borderId="0" xfId="0" applyNumberFormat="1" applyFont="1" applyFill="1" applyBorder="1" applyAlignment="1">
      <x:alignment wrapText="1"/>
    </x:xf>
    <x:xf numFmtId="0" fontId="11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vertical="center"/>
    </x:xf>
    <x:xf numFmtId="0" fontId="8" fillId="30" borderId="0" xfId="0" applyNumberFormat="1" applyFont="1" applyFill="1" applyBorder="1"/>
    <x:xf numFmtId="0" fontId="8" fillId="30" borderId="16" xfId="0" applyNumberFormat="1" applyFont="1" applyFill="1" applyBorder="1"/>
    <x:xf numFmtId="0" fontId="8" fillId="30" borderId="16" xfId="0" applyNumberFormat="1" applyFont="1" applyFill="1" applyBorder="1" applyAlignment="1">
      <x:alignment wrapText="1"/>
    </x:xf>
    <x:xf numFmtId="0" fontId="8" fillId="30" borderId="16" xfId="0" applyNumberFormat="1" applyFont="1" applyFill="1" applyBorder="1" applyAlignment="1">
      <x:alignment vertical="center" wrapText="1"/>
    </x:xf>
    <x:xf numFmtId="0" fontId="0" fillId="31" borderId="16" xfId="0" applyNumberFormat="1" applyFont="1" applyFill="1" applyBorder="1" applyAlignment="1">
      <x:alignment vertical="top" wrapText="1"/>
    </x:xf>
    <x:xf numFmtId="0" fontId="4" fillId="31" borderId="16" xfId="0" applyNumberFormat="1" applyFont="1" applyFill="1" applyBorder="1" applyAlignment="1">
      <x:alignment vertical="top" wrapText="1"/>
    </x:xf>
    <x:xf numFmtId="0" fontId="0" fillId="32" borderId="16" xfId="0" applyNumberFormat="1" applyFont="1" applyFill="1" applyBorder="1" applyAlignment="1">
      <x:alignment vertical="top" wrapText="1"/>
    </x:xf>
    <x:xf numFmtId="0" fontId="15" fillId="32" borderId="16" xfId="0" applyNumberFormat="1" applyFont="1" applyFill="1" applyBorder="1" applyAlignment="1">
      <x:alignment vertical="top" wrapText="1"/>
    </x:xf>
    <x:xf numFmtId="0" fontId="0" fillId="33" borderId="16" xfId="0" applyNumberFormat="1" applyFont="1" applyFill="1" applyBorder="1" applyAlignment="1">
      <x:alignment vertical="top" wrapText="1"/>
    </x:xf>
    <x:xf numFmtId="0" fontId="6" fillId="33" borderId="16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/>
    <x:xf numFmtId="0" fontId="16" fillId="33" borderId="0" xfId="0" applyNumberFormat="1" applyFont="1" applyFill="1" applyBorder="1"/>
    <x:xf numFmtId="0" fontId="16" fillId="33" borderId="2" xfId="0" applyNumberFormat="1" applyFont="1" applyFill="1" applyBorder="1"/>
    <x:xf numFmtId="0" fontId="16" fillId="33" borderId="17" xfId="0" applyNumberFormat="1" applyFont="1" applyFill="1" applyBorder="1"/>
    <x:xf numFmtId="0" fontId="16" fillId="33" borderId="3" xfId="0" applyNumberFormat="1" applyFont="1" applyFill="1" applyBorder="1"/>
    <x:xf numFmtId="0" fontId="16" fillId="33" borderId="4" xfId="0" applyNumberFormat="1" applyFont="1" applyFill="1" applyBorder="1"/>
    <x:xf numFmtId="0" fontId="16" fillId="33" xfId="0" applyNumberFormat="1" applyFont="1" applyFill="1" applyBorder="0"/>
    <x:xf numFmtId="0" fontId="16" fillId="33" borderId="5" xfId="0" applyNumberFormat="1" applyFont="1" applyFill="1" applyBorder="1"/>
    <x:xf numFmtId="0" fontId="16" fillId="33" borderId="6" xfId="0" applyNumberFormat="1" applyFont="1" applyFill="1" applyBorder="1"/>
    <x:xf numFmtId="0" fontId="16" fillId="33" borderId="18" xfId="0" applyNumberFormat="1" applyFont="1" applyFill="1" applyBorder="1"/>
    <x:xf numFmtId="0" fontId="16" fillId="33" borderId="7" xfId="0" applyNumberFormat="1" applyFont="1" applyFill="1" applyBorder="1"/>
    <x:xf numFmtId="0" fontId="16" fillId="33" borderId="2" xfId="0" applyNumberFormat="1" applyFont="1" applyFill="1" applyBorder="1" applyAlignment="1">
      <x:alignment wrapText="1"/>
    </x:xf>
    <x:xf numFmtId="0" fontId="16" fillId="33" borderId="17" xfId="0" applyNumberFormat="1" applyFont="1" applyFill="1" applyBorder="1" applyAlignment="1">
      <x:alignment wrapText="1"/>
    </x:xf>
    <x:xf numFmtId="0" fontId="16" fillId="33" borderId="3" xfId="0" applyNumberFormat="1" applyFont="1" applyFill="1" applyBorder="1" applyAlignment="1">
      <x:alignment wrapText="1"/>
    </x:xf>
    <x:xf numFmtId="0" fontId="16" fillId="33" borderId="4" xfId="0" applyNumberFormat="1" applyFont="1" applyFill="1" applyBorder="1" applyAlignment="1">
      <x:alignment wrapText="1"/>
    </x:xf>
    <x:xf numFmtId="0" fontId="16" fillId="33" xfId="0" applyNumberFormat="1" applyFont="1" applyFill="1" applyBorder="0" applyAlignment="1">
      <x:alignment wrapText="1"/>
    </x:xf>
    <x:xf numFmtId="0" fontId="16" fillId="33" borderId="5" xfId="0" applyNumberFormat="1" applyFont="1" applyFill="1" applyBorder="1" applyAlignment="1">
      <x:alignment wrapText="1"/>
    </x:xf>
    <x:xf numFmtId="0" fontId="16" fillId="33" borderId="6" xfId="0" applyNumberFormat="1" applyFont="1" applyFill="1" applyBorder="1" applyAlignment="1">
      <x:alignment wrapText="1"/>
    </x:xf>
    <x:xf numFmtId="0" fontId="16" fillId="33" borderId="18" xfId="0" applyNumberFormat="1" applyFont="1" applyFill="1" applyBorder="1" applyAlignment="1">
      <x:alignment wrapText="1"/>
    </x:xf>
    <x:xf numFmtId="0" fontId="16" fillId="33" borderId="7" xfId="0" applyNumberFormat="1" applyFont="1" applyFill="1" applyBorder="1" applyAlignment="1">
      <x:alignment wrapText="1"/>
    </x:xf>
    <x:xf numFmtId="0" fontId="16" fillId="33" borderId="2" xfId="0" applyNumberFormat="1" applyFont="1" applyFill="1" applyBorder="1" applyAlignment="1">
      <x:alignment horizontal="center" wrapText="1"/>
    </x:xf>
    <x:xf numFmtId="0" fontId="16" fillId="33" borderId="17" xfId="0" applyNumberFormat="1" applyFont="1" applyFill="1" applyBorder="1" applyAlignment="1">
      <x:alignment horizontal="center" wrapText="1"/>
    </x:xf>
    <x:xf numFmtId="0" fontId="16" fillId="33" borderId="3" xfId="0" applyNumberFormat="1" applyFont="1" applyFill="1" applyBorder="1" applyAlignment="1">
      <x:alignment horizontal="center" wrapText="1"/>
    </x:xf>
    <x:xf numFmtId="0" fontId="16" fillId="33" borderId="4" xfId="0" applyNumberFormat="1" applyFont="1" applyFill="1" applyBorder="1" applyAlignment="1">
      <x:alignment horizontal="center" wrapText="1"/>
    </x:xf>
    <x:xf numFmtId="0" fontId="16" fillId="33" xfId="0" applyNumberFormat="1" applyFont="1" applyFill="1" applyBorder="0" applyAlignment="1">
      <x:alignment horizontal="center" wrapText="1"/>
    </x:xf>
    <x:xf numFmtId="0" fontId="16" fillId="33" borderId="5" xfId="0" applyNumberFormat="1" applyFont="1" applyFill="1" applyBorder="1" applyAlignment="1">
      <x:alignment horizontal="center" wrapText="1"/>
    </x:xf>
    <x:xf numFmtId="0" fontId="16" fillId="33" borderId="6" xfId="0" applyNumberFormat="1" applyFont="1" applyFill="1" applyBorder="1" applyAlignment="1">
      <x:alignment horizontal="center" wrapText="1"/>
    </x:xf>
    <x:xf numFmtId="0" fontId="16" fillId="33" borderId="18" xfId="0" applyNumberFormat="1" applyFont="1" applyFill="1" applyBorder="1" applyAlignment="1">
      <x:alignment horizontal="center" wrapText="1"/>
    </x:xf>
    <x:xf numFmtId="0" fontId="16" fillId="33" borderId="7" xfId="0" applyNumberFormat="1" applyFont="1" applyFill="1" applyBorder="1" applyAlignment="1">
      <x:alignment horizontal="center" wrapText="1"/>
    </x:xf>
    <x:xf numFmtId="0" fontId="16" fillId="33" borderId="2" xfId="0" applyNumberFormat="1" applyFont="1" applyFill="1" applyBorder="1" applyAlignment="1">
      <x:alignment horizontal="center" vertical="center" wrapText="1"/>
    </x:xf>
    <x:xf numFmtId="0" fontId="16" fillId="33" borderId="17" xfId="0" applyNumberFormat="1" applyFont="1" applyFill="1" applyBorder="1" applyAlignment="1">
      <x:alignment horizontal="center" vertical="center" wrapText="1"/>
    </x:xf>
    <x:xf numFmtId="0" fontId="16" fillId="33" borderId="3" xfId="0" applyNumberFormat="1" applyFont="1" applyFill="1" applyBorder="1" applyAlignment="1">
      <x:alignment horizontal="center" vertical="center" wrapText="1"/>
    </x:xf>
    <x:xf numFmtId="0" fontId="16" fillId="33" borderId="4" xfId="0" applyNumberFormat="1" applyFont="1" applyFill="1" applyBorder="1" applyAlignment="1">
      <x:alignment horizontal="center" vertical="center" wrapText="1"/>
    </x:xf>
    <x:xf numFmtId="0" fontId="16" fillId="33" xfId="0" applyNumberFormat="1" applyFont="1" applyFill="1" applyBorder="0" applyAlignment="1">
      <x:alignment horizontal="center" vertical="center" wrapText="1"/>
    </x:xf>
    <x:xf numFmtId="0" fontId="16" fillId="33" borderId="5" xfId="0" applyNumberFormat="1" applyFont="1" applyFill="1" applyBorder="1" applyAlignment="1">
      <x:alignment horizontal="center" vertical="center" wrapText="1"/>
    </x:xf>
    <x:xf numFmtId="0" fontId="16" fillId="33" borderId="6" xfId="0" applyNumberFormat="1" applyFont="1" applyFill="1" applyBorder="1" applyAlignment="1">
      <x:alignment horizontal="center" vertical="center" wrapText="1"/>
    </x:xf>
    <x:xf numFmtId="0" fontId="16" fillId="33" borderId="18" xfId="0" applyNumberFormat="1" applyFont="1" applyFill="1" applyBorder="1" applyAlignment="1">
      <x:alignment horizontal="center" vertical="center" wrapText="1"/>
    </x:xf>
    <x:xf numFmtId="0" fontId="16" fillId="33" borderId="7" xfId="0" applyNumberFormat="1" applyFont="1" applyFill="1" applyBorder="1" applyAlignment="1">
      <x:alignment horizontal="center" vertical="center" wrapText="1"/>
    </x:xf>
    <x:xf numFmtId="0" fontId="4" fillId="31" borderId="16" xfId="0" applyNumberFormat="1" applyFont="1" applyFill="1" applyBorder="1" applyAlignment="1">
      <x:alignment horizontal="center" vertical="top" wrapText="1"/>
    </x:xf>
    <x:xf numFmtId="0" fontId="6" fillId="33" borderId="16" xfId="0" applyNumberFormat="1" applyFont="1" applyFill="1" applyBorder="1" applyAlignment="1">
      <x:alignment horizontal="center" vertical="top" wrapText="1"/>
    </x:xf>
    <x:xf numFmtId="0" fontId="0" fillId="34" borderId="0" xfId="0" applyNumberFormat="1" applyFont="1" applyFill="1" applyBorder="1"/>
    <x:xf numFmtId="0" fontId="9" fillId="34" borderId="0" xfId="0" applyNumberFormat="1" applyFont="1" applyFill="1" applyBorder="1"/>
    <x:xf numFmtId="0" fontId="9" fillId="34" borderId="8" xfId="0" applyNumberFormat="1" applyFont="1" applyFill="1" applyBorder="1"/>
    <x:xf numFmtId="0" fontId="9" fillId="34" borderId="9" xfId="0" applyNumberFormat="1" applyFont="1" applyFill="1" applyBorder="1"/>
    <x:xf numFmtId="0" fontId="9" fillId="34" borderId="10" xfId="0" applyNumberFormat="1" applyFont="1" applyFill="1" applyBorder="1"/>
    <x:xf numFmtId="0" fontId="9" fillId="34" borderId="11" xfId="0" applyNumberFormat="1" applyFont="1" applyFill="1" applyBorder="1"/>
    <x:xf numFmtId="0" fontId="9" fillId="34" xfId="0" applyNumberFormat="1" applyFont="1" applyFill="1" applyBorder="0"/>
    <x:xf numFmtId="0" fontId="9" fillId="34" borderId="12" xfId="0" applyNumberFormat="1" applyFont="1" applyFill="1" applyBorder="1"/>
    <x:xf numFmtId="0" fontId="9" fillId="34" borderId="13" xfId="0" applyNumberFormat="1" applyFont="1" applyFill="1" applyBorder="1"/>
    <x:xf numFmtId="0" fontId="9" fillId="34" borderId="14" xfId="0" applyNumberFormat="1" applyFont="1" applyFill="1" applyBorder="1"/>
    <x:xf numFmtId="0" fontId="9" fillId="34" borderId="15" xfId="0" applyNumberFormat="1" applyFont="1" applyFill="1" applyBorder="1"/>
    <x:xf numFmtId="0" fontId="9" fillId="34" borderId="8" xfId="0" applyNumberFormat="1" applyFont="1" applyFill="1" applyBorder="1" applyAlignment="1">
      <x:alignment wrapText="1"/>
    </x:xf>
    <x:xf numFmtId="0" fontId="9" fillId="34" borderId="9" xfId="0" applyNumberFormat="1" applyFont="1" applyFill="1" applyBorder="1" applyAlignment="1">
      <x:alignment wrapText="1"/>
    </x:xf>
    <x:xf numFmtId="0" fontId="9" fillId="34" borderId="10" xfId="0" applyNumberFormat="1" applyFont="1" applyFill="1" applyBorder="1" applyAlignment="1">
      <x:alignment wrapText="1"/>
    </x:xf>
    <x:xf numFmtId="0" fontId="9" fillId="34" borderId="11" xfId="0" applyNumberFormat="1" applyFont="1" applyFill="1" applyBorder="1" applyAlignment="1">
      <x:alignment wrapText="1"/>
    </x:xf>
    <x:xf numFmtId="0" fontId="9" fillId="34" xfId="0" applyNumberFormat="1" applyFont="1" applyFill="1" applyBorder="0" applyAlignment="1">
      <x:alignment wrapText="1"/>
    </x:xf>
    <x:xf numFmtId="0" fontId="9" fillId="34" borderId="12" xfId="0" applyNumberFormat="1" applyFont="1" applyFill="1" applyBorder="1" applyAlignment="1">
      <x:alignment wrapText="1"/>
    </x:xf>
    <x:xf numFmtId="0" fontId="9" fillId="34" borderId="13" xfId="0" applyNumberFormat="1" applyFont="1" applyFill="1" applyBorder="1" applyAlignment="1">
      <x:alignment wrapText="1"/>
    </x:xf>
    <x:xf numFmtId="0" fontId="9" fillId="34" borderId="14" xfId="0" applyNumberFormat="1" applyFont="1" applyFill="1" applyBorder="1" applyAlignment="1">
      <x:alignment wrapText="1"/>
    </x:xf>
    <x:xf numFmtId="0" fontId="9" fillId="34" borderId="15" xfId="0" applyNumberFormat="1" applyFont="1" applyFill="1" applyBorder="1" applyAlignment="1">
      <x:alignment wrapText="1"/>
    </x:xf>
    <x:xf numFmtId="0" fontId="9" fillId="34" borderId="8" xfId="0" applyNumberFormat="1" applyFont="1" applyFill="1" applyBorder="1" applyAlignment="1">
      <x:alignment vertical="center" wrapText="1"/>
    </x:xf>
    <x:xf numFmtId="0" fontId="9" fillId="34" borderId="9" xfId="0" applyNumberFormat="1" applyFont="1" applyFill="1" applyBorder="1" applyAlignment="1">
      <x:alignment vertical="center" wrapText="1"/>
    </x:xf>
    <x:xf numFmtId="0" fontId="9" fillId="34" borderId="10" xfId="0" applyNumberFormat="1" applyFont="1" applyFill="1" applyBorder="1" applyAlignment="1">
      <x:alignment vertical="center" wrapText="1"/>
    </x:xf>
    <x:xf numFmtId="0" fontId="9" fillId="34" borderId="11" xfId="0" applyNumberFormat="1" applyFont="1" applyFill="1" applyBorder="1" applyAlignment="1">
      <x:alignment vertical="center" wrapText="1"/>
    </x:xf>
    <x:xf numFmtId="0" fontId="9" fillId="34" xfId="0" applyNumberFormat="1" applyFont="1" applyFill="1" applyBorder="0" applyAlignment="1">
      <x:alignment vertical="center" wrapText="1"/>
    </x:xf>
    <x:xf numFmtId="0" fontId="9" fillId="34" borderId="12" xfId="0" applyNumberFormat="1" applyFont="1" applyFill="1" applyBorder="1" applyAlignment="1">
      <x:alignment vertical="center" wrapText="1"/>
    </x:xf>
    <x:xf numFmtId="0" fontId="9" fillId="34" borderId="13" xfId="0" applyNumberFormat="1" applyFont="1" applyFill="1" applyBorder="1" applyAlignment="1">
      <x:alignment vertical="center" wrapText="1"/>
    </x:xf>
    <x:xf numFmtId="0" fontId="9" fillId="34" borderId="14" xfId="0" applyNumberFormat="1" applyFont="1" applyFill="1" applyBorder="1" applyAlignment="1">
      <x:alignment vertical="center" wrapText="1"/>
    </x:xf>
    <x:xf numFmtId="0" fontId="9" fillId="34" borderId="15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11" fillId="35" borderId="0" xfId="0" applyNumberFormat="1" applyFont="1" applyFill="1" applyBorder="1"/>
    <x:xf numFmtId="0" fontId="11" fillId="35" borderId="0" xfId="0" applyNumberFormat="1" applyFont="1" applyFill="1" applyBorder="1" applyAlignment="1">
      <x:alignment wrapText="1"/>
    </x:xf>
    <x:xf numFmtId="0" fontId="11" fillId="3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0fb7aa1d34100" /><Relationship Type="http://schemas.openxmlformats.org/officeDocument/2006/relationships/theme" Target="/xl/theme/theme1.xml" Id="R063c04d6e61443f6" /><Relationship Type="http://schemas.openxmlformats.org/officeDocument/2006/relationships/sharedStrings" Target="/xl/sharedStrings.xml" Id="R914fbf21e6c54bca" /><Relationship Type="http://schemas.openxmlformats.org/officeDocument/2006/relationships/worksheet" Target="/xl/worksheets/sheet1.xml" Id="R3916e67d1cba4ff6" /><Relationship Type="http://schemas.openxmlformats.org/officeDocument/2006/relationships/worksheet" Target="/xl/worksheets/sheet2.xml" Id="R2bfd61b8d3f046e8" /><Relationship Type="http://schemas.openxmlformats.org/officeDocument/2006/relationships/worksheet" Target="/xl/worksheets/sheet3.xml" Id="Rf6d82cca7f05416f" /><Relationship Type="http://schemas.openxmlformats.org/officeDocument/2006/relationships/worksheet" Target="/xl/worksheets/sheet4.xml" Id="R8b943770be2c4353" /><Relationship Type="http://schemas.openxmlformats.org/officeDocument/2006/relationships/worksheet" Target="/xl/worksheets/sheet5.xml" Id="R60b7b70803c24543" /><Relationship Type="http://schemas.openxmlformats.org/officeDocument/2006/relationships/worksheet" Target="/xl/worksheets/sheet6.xml" Id="Rfc3dc6f0e349422e" /><Relationship Type="http://schemas.openxmlformats.org/officeDocument/2006/relationships/worksheet" Target="/xl/worksheets/sheet7.xml" Id="R6e8e8aa554684040" /><Relationship Type="http://schemas.openxmlformats.org/officeDocument/2006/relationships/worksheet" Target="/xl/worksheets/sheet8.xml" Id="Rc5af8007824b4036" /><Relationship Type="http://schemas.openxmlformats.org/officeDocument/2006/relationships/worksheet" Target="/xl/worksheets/sheet9.xml" Id="R83ac2a5009df41fa" /><Relationship Type="http://schemas.openxmlformats.org/officeDocument/2006/relationships/worksheet" Target="/xl/worksheets/sheet10.xml" Id="Ra04adfc03b18400c" /></Relationships>
</file>

<file path=xl/tables/table1.xml><?xml version="1.0" encoding="utf-8"?>
<x:table xmlns:x="http://schemas.openxmlformats.org/spreadsheetml/2006/main" id="1" name="BrowserRetestResults" displayName="BrowserRetestResults" ref="A5:R24" headerRowCount="1" totalsRowCount="0" totalsRowShown="0">
  <x:tableColumns count="18">
    <x:tableColumn id="1" name="Run ID"/>
    <x:tableColumn id="2" name="Agent"/>
    <x:tableColumn id="3" name="Test ID"/>
    <x:tableColumn id="4" name="Area"/>
    <x:tableColumn id="5" name="Priority"/>
    <x:tableColumn id="6" name="Result"/>
    <x:tableColumn id="7" name="Device"/>
    <x:tableColumn id="8" name="Viewport"/>
    <x:tableColumn id="9" name="URL"/>
    <x:tableColumn id="10" name="Expected"/>
    <x:tableColumn id="11" name="Actual"/>
    <x:tableColumn id="12" name="Evidence"/>
    <x:tableColumn id="13" name="Console / Network"/>
    <x:tableColumn id="14" name="Refresh Repro"/>
    <x:tableColumn id="15" name="Severity"/>
    <x:tableColumn id="16" name="Major Blocker"/>
    <x:tableColumn id="17" name="Account Used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fectDisposition" displayName="DefectDisposition" ref="A4:I16" headerRowCount="1" totalsRowCount="0" totalsRowShown="0">
  <x:tableColumns count="9">
    <x:tableColumn id="1" name="Defect ID"/>
    <x:tableColumn id="2" name="Linked Tests"/>
    <x:tableColumn id="3" name="Priority"/>
    <x:tableColumn id="4" name="Status"/>
    <x:tableColumn id="5" name="Category"/>
    <x:tableColumn id="6" name="Original finding"/>
    <x:tableColumn id="7" name="Fix / decision"/>
    <x:tableColumn id="8" name="Retest evidence"/>
    <x:tableColumn id="9" name="Owner / Next Ste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urneyTestResults" displayName="JourneyTestResults" ref="A5:R15" headerRowCount="1" totalsRowCount="0" totalsRowShown="0">
  <x:tableColumns count="18">
    <x:tableColumn id="1" name="Run ID"/>
    <x:tableColumn id="2" name="Agent"/>
    <x:tableColumn id="3" name="Test ID"/>
    <x:tableColumn id="4" name="Area"/>
    <x:tableColumn id="5" name="Priority"/>
    <x:tableColumn id="6" name="Result"/>
    <x:tableColumn id="7" name="Device"/>
    <x:tableColumn id="8" name="Viewport"/>
    <x:tableColumn id="9" name="URL / Surface"/>
    <x:tableColumn id="10" name="Expected"/>
    <x:tableColumn id="11" name="Actual"/>
    <x:tableColumn id="12" name="Evidence"/>
    <x:tableColumn id="13" name="Console / Network"/>
    <x:tableColumn id="14" name="Refresh Repro"/>
    <x:tableColumn id="15" name="Prerequisite"/>
    <x:tableColumn id="16" name="Major Blocker"/>
    <x:tableColumn id="17" name="Account / Record"/>
    <x:tableColumn id="1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ourneyDefects" displayName="JourneyDefects" ref="A4:I7" headerRowCount="1" totalsRowCount="0" totalsRowShown="0">
  <x:tableColumns count="9">
    <x:tableColumn id="1" name="Defect ID"/>
    <x:tableColumn id="2" name="Linked Tests"/>
    <x:tableColumn id="3" name="Priority"/>
    <x:tableColumn id="4" name="Status"/>
    <x:tableColumn id="5" name="Category"/>
    <x:tableColumn id="6" name="Finding"/>
    <x:tableColumn id="7" name="Evidence / Cause"/>
    <x:tableColumn id="8" name="Required Action"/>
    <x:tableColumn id="9" name="Owner / Retes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urneyDatabaseEvidence" displayName="JourneyDatabaseEvidence" ref="A4:F22" headerRowCount="1" totalsRowCount="0" totalsRowShown="0">
  <x:tableColumns count="6">
    <x:tableColumn id="1" name="Evidence item"/>
    <x:tableColumn id="2" name="Expected"/>
    <x:tableColumn id="3" name="Observed"/>
    <x:tableColumn id="4" name="Result"/>
    <x:tableColumn id="5" name="Sourc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647243435a43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83aea919164e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c7dbdc9b02e4e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47fb1f082b044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686f95e6af84c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2" hidden="0" customWidth="1"/>
    <x:col min="4" max="4" width="28" hidden="0" customWidth="1"/>
    <x:col min="5" max="5" width="20" hidden="0" customWidth="1"/>
    <x:col min="6" max="6" width="18" hidden="0" customWidth="1"/>
    <x:col min="7" max="7" width="34" hidden="0" customWidth="1"/>
    <x:col min="8" max="8" width="24" hidden="0" customWidth="1"/>
  </x:cols>
  <x:sheetData>
    <x:row r="1" ht="36" customHeight="1">
      <x:c r="A1" s="82" t="str">
        <x:v>Little Birdee - Group 1 easy browser retest</x:v>
      </x:c>
      <x:c r="B1" s="82" t="str">
        <x:v>Little Birdee - Group 1 easy browser retest</x:v>
      </x:c>
      <x:c r="C1" s="82" t="str">
        <x:v>Little Birdee - Group 1 easy browser retest</x:v>
      </x:c>
      <x:c r="D1" s="82" t="str">
        <x:v>Little Birdee - Group 1 easy browser retest</x:v>
      </x:c>
      <x:c r="E1" s="82" t="str">
        <x:v>Little Birdee - Group 1 easy browser retest</x:v>
      </x:c>
      <x:c r="F1" s="82" t="str">
        <x:v>Little Birdee - Group 1 easy browser retest</x:v>
      </x:c>
      <x:c r="G1" s="82" t="str">
        <x:v>Little Birdee - Group 1 easy browser retest</x:v>
      </x:c>
      <x:c r="H1" s="82" t="str">
        <x:v>Little Birdee - Group 1 easy browser retest</x:v>
      </x:c>
    </x:row>
    <x:row r="2" ht="36" customHeight="1">
      <x:c r="A2" s="4" t="str">
        <x:v>Little Birdee - Group 1 easy browser retest</x:v>
      </x:c>
      <x:c r="B2" s="4" t="str">
        <x:v>Little Birdee - Group 1 easy browser retest</x:v>
      </x:c>
      <x:c r="C2" s="4" t="str">
        <x:v>Little Birdee - Group 1 easy browser retest</x:v>
      </x:c>
      <x:c r="D2" s="4" t="str">
        <x:v>Little Birdee - Group 1 easy browser retest</x:v>
      </x:c>
      <x:c r="E2" s="4" t="str">
        <x:v>Little Birdee - Group 1 easy browser retest</x:v>
      </x:c>
      <x:c r="F2" s="4" t="str">
        <x:v>Little Birdee - Group 1 easy browser retest</x:v>
      </x:c>
      <x:c r="G2" s="4" t="str">
        <x:v>Little Birdee - Group 1 easy browser retest</x:v>
      </x:c>
      <x:c r="H2" s="4" t="str">
        <x:v>Little Birdee - Group 1 easy browser retest</x:v>
      </x:c>
    </x:row>
    <x:row r="3">
      <x:c r="A3" s="5" t="str">
        <x:v>Run date</x:v>
      </x:c>
      <x:c r="B3" s="6" t="str">
        <x:v>29 July 2026</x:v>
      </x:c>
      <x:c r="D3" s="5" t="str">
        <x:v>Local validation</x:v>
      </x:c>
      <x:c r="E3" s="6" t="str">
        <x:v>TypeScript PASS; Vitest 72/72 PASS</x:v>
      </x:c>
    </x:row>
    <x:row r="4">
      <x:c r="A4" s="5" t="str">
        <x:v>Base URL</x:v>
      </x:c>
      <x:c r="B4" s="6" t="str">
        <x:v>http://localhost:3001</x:v>
      </x:c>
      <x:c r="D4" s="5" t="str">
        <x:v>Journey retest</x:v>
      </x:c>
      <x:c r="E4" s="93" t="str">
        <x:v>S-03 through S-12 now pass</x:v>
      </x:c>
    </x:row>
    <x:row r="5">
      <x:c r="A5" s="5" t="str">
        <x:v>Execution</x:v>
      </x:c>
      <x:c r="B5" s="6" t="str">
        <x:v>Five Chrome subagents plus root verification</x:v>
      </x:c>
      <x:c r="D5" s="5" t="str">
        <x:v>Remaining prerequisite</x:v>
      </x:c>
      <x:c r="E5" s="93" t="str">
        <x:v>None for the current journey batch</x:v>
      </x:c>
    </x:row>
    <x:row r="7">
      <x:c r="A7" s="8" t="str">
        <x:v>Retest results</x:v>
      </x:c>
      <x:c r="B7" s="8" t="str">
        <x:v>Retest results</x:v>
      </x:c>
      <x:c r="D7" s="8" t="str">
        <x:v>Defect status</x:v>
      </x:c>
      <x:c r="E7" s="8" t="str">
        <x:v>Defect status</x:v>
      </x:c>
      <x:c r="G7" s="8" t="str">
        <x:v>Run decision</x:v>
      </x:c>
      <x:c r="H7" s="8" t="str">
        <x:v>Run decision</x:v>
      </x:c>
    </x:row>
    <x:row r="8">
      <x:c r="A8" s="14" t="str">
        <x:v>PASS</x:v>
      </x:c>
      <x:c r="B8" s="11" t="n">
        <x:f>COUNTIF('Test Results'!$F$6:$F$24,"PASS")</x:f>
        <x:v>19</x:v>
      </x:c>
      <x:c r="D8" s="10" t="str">
        <x:v>Resolved</x:v>
      </x:c>
      <x:c r="E8" s="11" t="n">
        <x:f>COUNTIF(Defects!$D$5:$D$16,"Resolved")+COUNTIF(Defects!$D$5:$D$16,"Closed - environment")</x:f>
        <x:v>12</x:v>
      </x:c>
      <x:c r="G8" s="253" t="str">
        <x:v>EASY AUTH PASS
ALL JOURNEY TESTS PASSED</x:v>
      </x:c>
      <x:c r="H8" s="254" t="str">
        <x:v>EASY AUTH PASS
ALL JOURNEY TESTS PASSED</x:v>
      </x:c>
    </x:row>
    <x:row r="9">
      <x:c r="A9" s="17" t="str">
        <x:v>FAIL</x:v>
      </x:c>
      <x:c r="B9" s="11" t="n">
        <x:f>COUNTIF('Test Results'!$F$6:$F$24,"FAIL")</x:f>
        <x:v>0</x:v>
      </x:c>
      <x:c r="D9" s="10" t="str">
        <x:v>Reclassified</x:v>
      </x:c>
      <x:c r="E9" s="11" t="n">
        <x:f>COUNTIF(Defects!$D$5:$D$16,"Reclassified")</x:f>
        <x:v>0</x:v>
      </x:c>
      <x:c r="G9" s="255" t="str">
        <x:v>EASY AUTH PASS
ALL JOURNEY TESTS PASSED</x:v>
      </x:c>
      <x:c r="H9" s="256" t="str">
        <x:v>EASY AUTH PASS
ALL JOURNEY TESTS PASSED</x:v>
      </x:c>
    </x:row>
    <x:row r="10">
      <x:c r="A10" s="20" t="str">
        <x:v>BLOCKED</x:v>
      </x:c>
      <x:c r="B10" s="11" t="n">
        <x:f>COUNTIF('Test Results'!$F$6:$F$24,"BLOCKED")</x:f>
        <x:v>0</x:v>
      </x:c>
      <x:c r="D10" s="10" t="str">
        <x:v>Open</x:v>
      </x:c>
      <x:c r="E10" s="11" t="n">
        <x:f>COUNTIF(Defects!$D$5:$D$16,"Open")</x:f>
        <x:v>0</x:v>
      </x:c>
      <x:c r="G10" s="255" t="str">
        <x:v>EASY AUTH PASS
ALL JOURNEY TESTS PASSED</x:v>
      </x:c>
      <x:c r="H10" s="256" t="str">
        <x:v>EASY AUTH PASS
ALL JOURNEY TESTS PASSED</x:v>
      </x:c>
    </x:row>
    <x:row r="11">
      <x:c r="A11" s="10" t="str">
        <x:v>TOTAL</x:v>
      </x:c>
      <x:c r="B11" s="11" t="n">
        <x:f>COUNTA('Test Results'!$A$6:$A$24)</x:f>
        <x:v>19</x:v>
      </x:c>
      <x:c r="D11" s="10" t="str">
        <x:v>Total</x:v>
      </x:c>
      <x:c r="E11" s="11" t="n">
        <x:f>COUNTA(Defects!$A$5:$A$16)</x:f>
        <x:v>12</x:v>
      </x:c>
      <x:c r="G11" s="257" t="str">
        <x:v>EASY AUTH PASS
ALL JOURNEY TESTS PASSED</x:v>
      </x:c>
      <x:c r="H11" s="258" t="str">
        <x:v>EASY AUTH PASS
ALL JOURNEY TESTS PASSED</x:v>
      </x:c>
    </x:row>
    <x:row r="14">
      <x:c r="A14" s="47" t="str">
        <x:v>What changed and what remains</x:v>
      </x:c>
      <x:c r="B14" s="47" t="str">
        <x:v>What changed and what remains</x:v>
      </x:c>
      <x:c r="C14" s="47" t="str">
        <x:v>What changed and what remains</x:v>
      </x:c>
      <x:c r="D14" s="47" t="str">
        <x:v>What changed and what remains</x:v>
      </x:c>
      <x:c r="E14" s="47" t="str">
        <x:v>What changed and what remains</x:v>
      </x:c>
      <x:c r="F14" s="47" t="str">
        <x:v>What changed and what remains</x:v>
      </x:c>
      <x:c r="G14" s="47" t="str">
        <x:v>What changed and what remains</x:v>
      </x:c>
      <x:c r="H14" s="47" t="str">
        <x:v>What changed and what remains</x:v>
      </x:c>
    </x:row>
    <x:row r="15" ht="32" customHeight="1">
      <x:c r="A15" s="50" t="str">
        <x:v>Priority</x:v>
      </x:c>
      <x:c r="B15" s="50" t="str">
        <x:v>Area</x:v>
      </x:c>
      <x:c r="C15" s="50" t="str">
        <x:v>Outcome</x:v>
      </x:c>
      <x:c r="D15" s="50" t="str">
        <x:v>Evidence</x:v>
      </x:c>
      <x:c r="E15" s="50" t="str">
        <x:v>State</x:v>
      </x:c>
      <x:c r="F15" s="50" t="str">
        <x:v>Owner</x:v>
      </x:c>
      <x:c r="G15" s="50" t="str">
        <x:v>Next action</x:v>
      </x:c>
      <x:c r="H15" s="50" t="str">
        <x:v>Sign-off impact</x:v>
      </x:c>
    </x:row>
    <x:row r="16" ht="48" customHeight="1">
      <x:c r="A16" s="53" t="str">
        <x:v>P0</x:v>
      </x:c>
      <x:c r="B16" s="52" t="str">
        <x:v>Signup/reset validation</x:v>
      </x:c>
      <x:c r="C16" s="52" t="str">
        <x:v>Short passwords are blocked locally.</x:v>
      </x:c>
      <x:c r="D16" s="52" t="str">
        <x:v>Zero auth requests for five-character test.</x:v>
      </x:c>
      <x:c r="E16" s="52" t="str">
        <x:v>Resolved</x:v>
      </x:c>
      <x:c r="F16" s="52" t="str">
        <x:v>Frontend</x:v>
      </x:c>
      <x:c r="G16" s="52" t="str">
        <x:v>None for easy wave.</x:v>
      </x:c>
      <x:c r="H16" s="52" t="str">
        <x:v>Cleared</x:v>
      </x:c>
    </x:row>
    <x:row r="17" ht="48" customHeight="1">
      <x:c r="A17" s="53" t="str">
        <x:v>P1</x:v>
      </x:c>
      <x:c r="B17" s="52" t="str">
        <x:v>Auth mode navigation</x:v>
      </x:c>
      <x:c r="C17" s="52" t="str">
        <x:v>Top, bottom, and keyboard mode changes pass.</x:v>
      </x:c>
      <x:c r="D17" s="52" t="str">
        <x:v>Fresh-tab click and key assertions.</x:v>
      </x:c>
      <x:c r="E17" s="52" t="str">
        <x:v>Resolved</x:v>
      </x:c>
      <x:c r="F17" s="52" t="str">
        <x:v>Frontend</x:v>
      </x:c>
      <x:c r="G17" s="52" t="str">
        <x:v>Continue complex UAT.</x:v>
      </x:c>
      <x:c r="H17" s="52" t="str">
        <x:v>Cleared</x:v>
      </x:c>
    </x:row>
    <x:row r="18" ht="48" customHeight="1">
      <x:c r="A18" s="53" t="str">
        <x:v>P1</x:v>
      </x:c>
      <x:c r="B18" s="52" t="str">
        <x:v>Birdee eye/blink</x:v>
      </x:c>
      <x:c r="C18" s="52" t="str">
        <x:v>Eye matches the reference proportions; blink is subtle.</x:v>
      </x:c>
      <x:c r="D18" s="52" t="str">
        <x:v>Large and mobile measurements.</x:v>
      </x:c>
      <x:c r="E18" s="52" t="str">
        <x:v>Resolved</x:v>
      </x:c>
      <x:c r="F18" s="52" t="str">
        <x:v>Design/frontend</x:v>
      </x:c>
      <x:c r="G18" s="52" t="str">
        <x:v>Observe on real devices later.</x:v>
      </x:c>
      <x:c r="H18" s="52" t="str">
        <x:v>Cleared</x:v>
      </x:c>
    </x:row>
    <x:row r="19" ht="48" customHeight="1">
      <x:c r="A19" s="53" t="str">
        <x:v>P2</x:v>
      </x:c>
      <x:c r="B19" s="52" t="str">
        <x:v>Responsive/touch UI</x:v>
      </x:c>
      <x:c r="C19" s="52" t="str">
        <x:v>Clipping, overflow, and 44 px targets pass.</x:v>
      </x:c>
      <x:c r="D19" s="52" t="str">
        <x:v>1024, 768, 390x844, 390x700.</x:v>
      </x:c>
      <x:c r="E19" s="52" t="str">
        <x:v>Resolved</x:v>
      </x:c>
      <x:c r="F19" s="52" t="str">
        <x:v>Frontend</x:v>
      </x:c>
      <x:c r="G19" s="52" t="str">
        <x:v>Real mobile keyboard check later.</x:v>
      </x:c>
      <x:c r="H19" s="52" t="str">
        <x:v>Cleared</x:v>
      </x:c>
    </x:row>
    <x:row r="20" ht="48" customHeight="1">
      <x:c r="A20" s="53" t="str">
        <x:v>P2</x:v>
      </x:c>
      <x:c r="B20" s="52" t="str">
        <x:v>Google unavailable state</x:v>
      </x:c>
      <x:c r="C20" s="52" t="str">
        <x:v>Disabled provider is explicit and non-clickable.</x:v>
      </x:c>
      <x:c r="D20" s="52" t="str">
        <x:v>Settings check plus fresh browser test.</x:v>
      </x:c>
      <x:c r="E20" s="52" t="str">
        <x:v>Resolved</x:v>
      </x:c>
      <x:c r="F20" s="52" t="str">
        <x:v>Auth config</x:v>
      </x:c>
      <x:c r="G20" s="52" t="str">
        <x:v>Activate Google only when credentials/domain exist.</x:v>
      </x:c>
      <x:c r="H20" s="52" t="str">
        <x:v>No block</x:v>
      </x:c>
    </x:row>
    <x:row r="21" ht="48" customHeight="1">
      <x:c r="A21" s="53" t="str">
        <x:v>P0</x:v>
      </x:c>
      <x:c r="B21" s="52" t="str">
        <x:v>Reset email delivery</x:v>
      </x:c>
      <x:c r="C21" s="52" t="str">
        <x:v>Full registered-user recovery flow passes.</x:v>
      </x:c>
      <x:c r="D21" s="52" t="str">
        <x:v>Email, callback, update, and fresh login.</x:v>
      </x:c>
      <x:c r="E21" s="52" t="str">
        <x:v>Resolved</x:v>
      </x:c>
      <x:c r="F21" s="52" t="str">
        <x:v>QA/Auth</x:v>
      </x:c>
      <x:c r="G21" s="52" t="str">
        <x:v>Retain the confirmed test identity for regression.</x:v>
      </x:c>
      <x:c r="H21" s="52" t="str">
        <x:v>Cleared</x:v>
      </x:c>
    </x:row>
    <x:row r="24">
      <x:c r="A24" s="73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B24" s="74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C24" s="74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D24" s="74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E24" s="74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F24" s="74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G24" s="74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H24" s="75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</x:row>
    <x:row r="25">
      <x:c r="A25" s="76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B25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C25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D25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E25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F25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G25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H25" s="78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</x:row>
    <x:row r="26">
      <x:c r="A26" s="76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B26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C26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D26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E26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F26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G26" s="77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H26" s="78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</x:row>
    <x:row r="27">
      <x:c r="A27" s="79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B27" s="80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C27" s="80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D27" s="80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E27" s="80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F27" s="80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G27" s="80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  <x:c r="H27" s="81" t="str">
        <x:v>Easy-wave conclusion: all 19 recorded checks now pass. The password-reset path was verified end to end with a confirmed test identity: email delivery, recovery callback, password update, signed-out login, and final logout. P-03 remains recorded as product-owner PASS. This workbook does not replace the remaining complex Group 1 acceptance cases.</x:v>
      </x:c>
    </x:row>
  </x:sheetData>
  <x:mergeCells>
    <x:mergeCell ref="A1:H2"/>
    <x:mergeCell ref="A7:B7"/>
    <x:mergeCell ref="D7:E7"/>
    <x:mergeCell ref="G7:H7"/>
    <x:mergeCell ref="G8:H11"/>
    <x:mergeCell ref="A14:H14"/>
    <x:mergeCell ref="A24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20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34" hidden="0" customWidth="1"/>
    <x:col min="10" max="10" width="44" hidden="0" customWidth="1"/>
    <x:col min="11" max="11" width="46" hidden="0" customWidth="1"/>
    <x:col min="12" max="12" width="38" hidden="0" customWidth="1"/>
    <x:col min="13" max="13" width="34" hidden="0" customWidth="1"/>
    <x:col min="14" max="14" width="16" hidden="0" customWidth="1"/>
    <x:col min="15" max="15" width="18" hidden="0" customWidth="1"/>
    <x:col min="16" max="16" width="16" hidden="0" customWidth="1"/>
    <x:col min="17" max="17" width="24" hidden="0" customWidth="1"/>
    <x:col min="18" max="18" width="44" hidden="0" customWidth="1"/>
  </x:cols>
  <x:sheetData>
    <x:row r="1" ht="36" customHeight="1">
      <x:c r="A1" s="4" t="str">
        <x:v>Detailed retest results</x:v>
      </x:c>
      <x:c r="B1" s="4" t="str">
        <x:v>Detailed retest results</x:v>
      </x:c>
      <x:c r="C1" s="4" t="str">
        <x:v>Detailed retest results</x:v>
      </x:c>
      <x:c r="D1" s="4" t="str">
        <x:v>Detailed retest results</x:v>
      </x:c>
      <x:c r="E1" s="4" t="str">
        <x:v>Detailed retest results</x:v>
      </x:c>
      <x:c r="F1" s="4" t="str">
        <x:v>Detailed retest results</x:v>
      </x:c>
      <x:c r="G1" s="4" t="str">
        <x:v>Detailed retest results</x:v>
      </x:c>
      <x:c r="H1" s="4" t="str">
        <x:v>Detailed retest results</x:v>
      </x:c>
      <x:c r="I1" s="4" t="str">
        <x:v>Detailed retest results</x:v>
      </x:c>
      <x:c r="J1" s="4" t="str">
        <x:v>Detailed retest results</x:v>
      </x:c>
      <x:c r="K1" s="4" t="str">
        <x:v>Detailed retest results</x:v>
      </x:c>
      <x:c r="L1" s="4" t="str">
        <x:v>Detailed retest results</x:v>
      </x:c>
      <x:c r="M1" s="4" t="str">
        <x:v>Detailed retest results</x:v>
      </x:c>
      <x:c r="N1" s="4" t="str">
        <x:v>Detailed retest results</x:v>
      </x:c>
      <x:c r="O1" s="4" t="str">
        <x:v>Detailed retest results</x:v>
      </x:c>
      <x:c r="P1" s="4" t="str">
        <x:v>Detailed retest results</x:v>
      </x:c>
      <x:c r="Q1" s="4" t="str">
        <x:v>Detailed retest results</x:v>
      </x:c>
      <x:c r="R1" s="4" t="str">
        <x:v>Detailed retest results</x:v>
      </x:c>
    </x:row>
    <x:row r="2" ht="36" customHeight="1">
      <x:c r="A2" s="4" t="str">
        <x:v>Detailed retest results</x:v>
      </x:c>
      <x:c r="B2" s="4" t="str">
        <x:v>Detailed retest results</x:v>
      </x:c>
      <x:c r="C2" s="4" t="str">
        <x:v>Detailed retest results</x:v>
      </x:c>
      <x:c r="D2" s="4" t="str">
        <x:v>Detailed retest results</x:v>
      </x:c>
      <x:c r="E2" s="4" t="str">
        <x:v>Detailed retest results</x:v>
      </x:c>
      <x:c r="F2" s="4" t="str">
        <x:v>Detailed retest results</x:v>
      </x:c>
      <x:c r="G2" s="4" t="str">
        <x:v>Detailed retest results</x:v>
      </x:c>
      <x:c r="H2" s="4" t="str">
        <x:v>Detailed retest results</x:v>
      </x:c>
      <x:c r="I2" s="4" t="str">
        <x:v>Detailed retest results</x:v>
      </x:c>
      <x:c r="J2" s="4" t="str">
        <x:v>Detailed retest results</x:v>
      </x:c>
      <x:c r="K2" s="4" t="str">
        <x:v>Detailed retest results</x:v>
      </x:c>
      <x:c r="L2" s="4" t="str">
        <x:v>Detailed retest results</x:v>
      </x:c>
      <x:c r="M2" s="4" t="str">
        <x:v>Detailed retest results</x:v>
      </x:c>
      <x:c r="N2" s="4" t="str">
        <x:v>Detailed retest results</x:v>
      </x:c>
      <x:c r="O2" s="4" t="str">
        <x:v>Detailed retest results</x:v>
      </x:c>
      <x:c r="P2" s="4" t="str">
        <x:v>Detailed retest results</x:v>
      </x:c>
      <x:c r="Q2" s="4" t="str">
        <x:v>Detailed retest results</x:v>
      </x:c>
      <x:c r="R2" s="4" t="str">
        <x:v>Detailed retest results</x:v>
      </x:c>
    </x:row>
    <x:row r="3">
      <x:c r="A3" s="84" t="str">
        <x:v>Fresh Chrome tabs were required after HMR changes. PASS/FAIL/BLOCKED reflect product behavior; extension noise and test prerequisites are separated from application defects.</x:v>
      </x:c>
      <x:c r="B3" s="84" t="str">
        <x:v>Fresh Chrome tabs were required after HMR changes. PASS/FAIL/BLOCKED reflect product behavior; extension noise and test prerequisites are separated from application defects.</x:v>
      </x:c>
      <x:c r="C3" s="84" t="str">
        <x:v>Fresh Chrome tabs were required after HMR changes. PASS/FAIL/BLOCKED reflect product behavior; extension noise and test prerequisites are separated from application defects.</x:v>
      </x:c>
      <x:c r="D3" s="84" t="str">
        <x:v>Fresh Chrome tabs were required after HMR changes. PASS/FAIL/BLOCKED reflect product behavior; extension noise and test prerequisites are separated from application defects.</x:v>
      </x:c>
      <x:c r="E3" s="84" t="str">
        <x:v>Fresh Chrome tabs were required after HMR changes. PASS/FAIL/BLOCKED reflect product behavior; extension noise and test prerequisites are separated from application defects.</x:v>
      </x:c>
      <x:c r="F3" s="84" t="str">
        <x:v>Fresh Chrome tabs were required after HMR changes. PASS/FAIL/BLOCKED reflect product behavior; extension noise and test prerequisites are separated from application defects.</x:v>
      </x:c>
      <x:c r="G3" s="84" t="str">
        <x:v>Fresh Chrome tabs were required after HMR changes. PASS/FAIL/BLOCKED reflect product behavior; extension noise and test prerequisites are separated from application defects.</x:v>
      </x:c>
      <x:c r="H3" s="84" t="str">
        <x:v>Fresh Chrome tabs were required after HMR changes. PASS/FAIL/BLOCKED reflect product behavior; extension noise and test prerequisites are separated from application defects.</x:v>
      </x:c>
      <x:c r="I3" s="84" t="str">
        <x:v>Fresh Chrome tabs were required after HMR changes. PASS/FAIL/BLOCKED reflect product behavior; extension noise and test prerequisites are separated from application defects.</x:v>
      </x:c>
      <x:c r="J3" s="84" t="str">
        <x:v>Fresh Chrome tabs were required after HMR changes. PASS/FAIL/BLOCKED reflect product behavior; extension noise and test prerequisites are separated from application defects.</x:v>
      </x:c>
      <x:c r="K3" s="84" t="str">
        <x:v>Fresh Chrome tabs were required after HMR changes. PASS/FAIL/BLOCKED reflect product behavior; extension noise and test prerequisites are separated from application defects.</x:v>
      </x:c>
      <x:c r="L3" s="84" t="str">
        <x:v>Fresh Chrome tabs were required after HMR changes. PASS/FAIL/BLOCKED reflect product behavior; extension noise and test prerequisites are separated from application defects.</x:v>
      </x:c>
      <x:c r="M3" s="84" t="str">
        <x:v>Fresh Chrome tabs were required after HMR changes. PASS/FAIL/BLOCKED reflect product behavior; extension noise and test prerequisites are separated from application defects.</x:v>
      </x:c>
      <x:c r="N3" s="84" t="str">
        <x:v>Fresh Chrome tabs were required after HMR changes. PASS/FAIL/BLOCKED reflect product behavior; extension noise and test prerequisites are separated from application defects.</x:v>
      </x:c>
      <x:c r="O3" s="84" t="str">
        <x:v>Fresh Chrome tabs were required after HMR changes. PASS/FAIL/BLOCKED reflect product behavior; extension noise and test prerequisites are separated from application defects.</x:v>
      </x:c>
      <x:c r="P3" s="84" t="str">
        <x:v>Fresh Chrome tabs were required after HMR changes. PASS/FAIL/BLOCKED reflect product behavior; extension noise and test prerequisites are separated from application defects.</x:v>
      </x:c>
      <x:c r="Q3" s="84" t="str">
        <x:v>Fresh Chrome tabs were required after HMR changes. PASS/FAIL/BLOCKED reflect product behavior; extension noise and test prerequisites are separated from application defects.</x:v>
      </x:c>
      <x:c r="R3" s="84" t="str">
        <x:v>Fresh Chrome tabs were required after HMR changes. PASS/FAIL/BLOCKED reflect product behavior; extension noise and test prerequisites are separated from application defects.</x:v>
      </x:c>
    </x:row>
    <x:row r="5" ht="32" customHeight="1">
      <x:c r="A5" s="50" t="str">
        <x:v>Run ID</x:v>
      </x:c>
      <x:c r="B5" s="50" t="str">
        <x:v>Agent</x:v>
      </x:c>
      <x:c r="C5" s="50" t="str">
        <x:v>Test ID</x:v>
      </x:c>
      <x:c r="D5" s="50" t="str">
        <x:v>Area</x:v>
      </x:c>
      <x:c r="E5" s="50" t="str">
        <x:v>Priority</x:v>
      </x:c>
      <x:c r="F5" s="50" t="str">
        <x:v>Result</x:v>
      </x:c>
      <x:c r="G5" s="50" t="str">
        <x:v>Device</x:v>
      </x:c>
      <x:c r="H5" s="50" t="str">
        <x:v>Viewport</x:v>
      </x:c>
      <x:c r="I5" s="50" t="str">
        <x:v>URL</x:v>
      </x:c>
      <x:c r="J5" s="50" t="str">
        <x:v>Expected</x:v>
      </x:c>
      <x:c r="K5" s="50" t="str">
        <x:v>Actual</x:v>
      </x:c>
      <x:c r="L5" s="50" t="str">
        <x:v>Evidence</x:v>
      </x:c>
      <x:c r="M5" s="50" t="str">
        <x:v>Console / Network</x:v>
      </x:c>
      <x:c r="N5" s="50" t="str">
        <x:v>Refresh Repro</x:v>
      </x:c>
      <x:c r="O5" s="50" t="str">
        <x:v>Severity</x:v>
      </x:c>
      <x:c r="P5" s="50" t="str">
        <x:v>Major Blocker</x:v>
      </x:c>
      <x:c r="Q5" s="50" t="str">
        <x:v>Account Used</x:v>
      </x:c>
      <x:c r="R5" s="50" t="str">
        <x:v>Notes</x:v>
      </x:c>
    </x:row>
    <x:row r="6" ht="76" customHeight="1">
      <x:c r="A6" s="52" t="str">
        <x:v>RETEST-001</x:v>
      </x:c>
      <x:c r="B6" s="52" t="str">
        <x:v>preflight_security_easy</x:v>
      </x:c>
      <x:c r="C6" s="52" t="str">
        <x:v>P-01</x:v>
      </x:c>
      <x:c r="D6" s="52" t="str">
        <x:v>Preflight</x:v>
      </x:c>
      <x:c r="E6" s="88" t="str">
        <x:v>P1</x:v>
      </x:c>
      <x:c r="F6" s="87" t="str">
        <x:v>PASS</x:v>
      </x:c>
      <x:c r="G6" s="52" t="str">
        <x:v>Large desktop</x:v>
      </x:c>
      <x:c r="H6" s="52" t="str">
        <x:v>Chrome / fresh tab</x:v>
      </x:c>
      <x:c r="I6" s="52" t="str">
        <x:v>/</x:v>
      </x:c>
      <x:c r="J6" s="52" t="str">
        <x:v>Signed-out auth gateway loads without app runtime errors or prior customer data.</x:v>
      </x:c>
      <x:c r="K6" s="52" t="str">
        <x:v>Fresh rerun showed the auth gateway only; no app hydration/runtime error and no customer data.</x:v>
      </x:c>
      <x:c r="L6" s="52" t="str">
        <x:v>Console and settled DOM.</x:v>
      </x:c>
      <x:c r="M6" s="52" t="str">
        <x:v>Only unrelated extension noise.</x:v>
      </x:c>
      <x:c r="N6" s="52" t="str">
        <x:v>Yes</x:v>
      </x:c>
      <x:c r="O6" s="52" t="str">
        <x:v>None</x:v>
      </x:c>
      <x:c r="P6" s="89" t="str">
        <x:v>No</x:v>
      </x:c>
      <x:c r="Q6" s="52" t="str">
        <x:v>None</x:v>
      </x:c>
      <x:c r="R6" s="52" t="str">
        <x:v>Earlier LastPass hydration warning did not reproduce as an app defect.</x:v>
      </x:c>
    </x:row>
    <x:row r="7" ht="76" customHeight="1">
      <x:c r="A7" s="52" t="str">
        <x:v>RETEST-001</x:v>
      </x:c>
      <x:c r="B7" s="52" t="str">
        <x:v>preflight_security_easy</x:v>
      </x:c>
      <x:c r="C7" s="52" t="str">
        <x:v>P-02</x:v>
      </x:c>
      <x:c r="D7" s="52" t="str">
        <x:v>Route protection</x:v>
      </x:c>
      <x:c r="E7" s="88" t="str">
        <x:v>P0</x:v>
      </x:c>
      <x:c r="F7" s="87" t="str">
        <x:v>PASS</x:v>
      </x:c>
      <x:c r="G7" s="52" t="str">
        <x:v>Large desktop</x:v>
      </x:c>
      <x:c r="H7" s="52" t="str">
        <x:v>Chrome / fresh tab</x:v>
      </x:c>
      <x:c r="I7" s="52" t="str">
        <x:v>/onboarding, /setup, /app, /account</x:v>
      </x:c>
      <x:c r="J7" s="52" t="str">
        <x:v>All protected routes settle at login without protected content.</x:v>
      </x:c>
      <x:c r="K7" s="52" t="str">
        <x:v>All four routes settled at /auth?mode=login; protected content was absent.</x:v>
      </x:c>
      <x:c r="L7" s="52" t="str">
        <x:v>URLs and settled DOM.</x:v>
      </x:c>
      <x:c r="M7" s="52" t="str">
        <x:v>No app error.</x:v>
      </x:c>
      <x:c r="N7" s="52" t="str">
        <x:v>Yes</x:v>
      </x:c>
      <x:c r="O7" s="52" t="str">
        <x:v>None</x:v>
      </x:c>
      <x:c r="P7" s="89" t="str">
        <x:v>No</x:v>
      </x:c>
      <x:c r="Q7" s="52" t="str">
        <x:v>None</x:v>
      </x:c>
      <x:c r="R7" s="52" t="str">
        <x:v>No protected data observed.</x:v>
      </x:c>
    </x:row>
    <x:row r="8" ht="76" customHeight="1">
      <x:c r="A8" s="52" t="str">
        <x:v>RETEST-001</x:v>
      </x:c>
      <x:c r="B8" s="52" t="str">
        <x:v>Product owner</x:v>
      </x:c>
      <x:c r="C8" s="52" t="str">
        <x:v>P-03</x:v>
      </x:c>
      <x:c r="D8" s="52" t="str">
        <x:v>API protection</x:v>
      </x:c>
      <x:c r="E8" s="88" t="str">
        <x:v>P0</x:v>
      </x:c>
      <x:c r="F8" s="87" t="str">
        <x:v>PASS</x:v>
      </x:c>
      <x:c r="G8" s="52" t="str">
        <x:v>Large desktop</x:v>
      </x:c>
      <x:c r="H8" s="52" t="str">
        <x:v>Manual check</x:v>
      </x:c>
      <x:c r="I8" s="52" t="str">
        <x:v>/api/venue-state</x:v>
      </x:c>
      <x:c r="J8" s="52" t="str">
        <x:v>Signed-out request returns 401 with no venue data.</x:v>
      </x:c>
      <x:c r="K8" s="52" t="str">
        <x:v>Product owner independently checked P-03 and signed it off as passing.</x:v>
      </x:c>
      <x:c r="L8" s="52" t="str">
        <x:v>User-confirmed result.</x:v>
      </x:c>
      <x:c r="M8" s="52" t="str">
        <x:v>Not reissued by agents.</x:v>
      </x:c>
      <x:c r="N8" s="52" t="str">
        <x:v>N/A</x:v>
      </x:c>
      <x:c r="O8" s="52" t="str">
        <x:v>None</x:v>
      </x:c>
      <x:c r="P8" s="89" t="str">
        <x:v>No</x:v>
      </x:c>
      <x:c r="Q8" s="52" t="str">
        <x:v>None</x:v>
      </x:c>
      <x:c r="R8" s="52" t="str">
        <x:v>Recorded as product-owner confirmation.</x:v>
      </x:c>
    </x:row>
    <x:row r="9" ht="76" customHeight="1">
      <x:c r="A9" s="52" t="str">
        <x:v>RETEST-002</x:v>
      </x:c>
      <x:c r="B9" s="52" t="str">
        <x:v>auth_validation_large</x:v>
      </x:c>
      <x:c r="C9" s="52" t="str">
        <x:v>S-01</x:v>
      </x:c>
      <x:c r="D9" s="52" t="str">
        <x:v>Auth entry</x:v>
      </x:c>
      <x:c r="E9" s="88" t="str">
        <x:v>P1</x:v>
      </x:c>
      <x:c r="F9" s="87" t="str">
        <x:v>PASS</x:v>
      </x:c>
      <x:c r="G9" s="52" t="str">
        <x:v>Large desktop</x:v>
      </x:c>
      <x:c r="H9" s="52" t="str">
        <x:v>1440x900</x:v>
      </x:c>
      <x:c r="I9" s="52" t="str">
        <x:v>/auth?mode=signup and login</x:v>
      </x:c>
      <x:c r="J9" s="52" t="str">
        <x:v>Top tabs and footer switches work in both directions and keep URL, selected tab, focus, and panel synchronized.</x:v>
      </x:c>
      <x:c r="K9" s="52" t="str">
        <x:v>All click paths passed in a fresh tab; signup and login panels matched their URLs.</x:v>
      </x:c>
      <x:c r="L9" s="52" t="str">
        <x:v>Fresh-tab DOM and URL assertions.</x:v>
      </x:c>
      <x:c r="M9" s="52" t="str">
        <x:v>No app warning/error.</x:v>
      </x:c>
      <x:c r="N9" s="52" t="str">
        <x:v>Yes</x:v>
      </x:c>
      <x:c r="O9" s="52" t="str">
        <x:v>None</x:v>
      </x:c>
      <x:c r="P9" s="89" t="str">
        <x:v>No</x:v>
      </x:c>
      <x:c r="Q9" s="52" t="str">
        <x:v>None</x:v>
      </x:c>
      <x:c r="R9" s="52" t="str">
        <x:v>A stale HMR tab exposed a transient regression during development; the fresh-tab retest is green.</x:v>
      </x:c>
    </x:row>
    <x:row r="10" ht="76" customHeight="1">
      <x:c r="A10" s="52" t="str">
        <x:v>RETEST-002</x:v>
      </x:c>
      <x:c r="B10" s="52" t="str">
        <x:v>auth_validation_large</x:v>
      </x:c>
      <x:c r="C10" s="52" t="str">
        <x:v>E-15</x:v>
      </x:c>
      <x:c r="D10" s="52" t="str">
        <x:v>Keyboard activation</x:v>
      </x:c>
      <x:c r="E10" s="88" t="str">
        <x:v>P1</x:v>
      </x:c>
      <x:c r="F10" s="87" t="str">
        <x:v>PASS</x:v>
      </x:c>
      <x:c r="G10" s="52" t="str">
        <x:v>Large desktop</x:v>
      </x:c>
      <x:c r="H10" s="52" t="str">
        <x:v>1440x900</x:v>
      </x:c>
      <x:c r="I10" s="52" t="str">
        <x:v>/auth?mode=signup and login</x:v>
      </x:c>
      <x:c r="J10" s="52" t="str">
        <x:v>ArrowLeft, ArrowRight, Home, and End move both selection and focus.</x:v>
      </x:c>
      <x:c r="K10" s="52" t="str">
        <x:v>Every key kept focus, selected tab, URL, and panel synchronized.</x:v>
      </x:c>
      <x:c r="L10" s="52" t="str">
        <x:v>activeElement, aria-selected, URL, and heading.</x:v>
      </x:c>
      <x:c r="M10" s="52" t="str">
        <x:v>No app error.</x:v>
      </x:c>
      <x:c r="N10" s="52" t="str">
        <x:v>Yes</x:v>
      </x:c>
      <x:c r="O10" s="52" t="str">
        <x:v>None</x:v>
      </x:c>
      <x:c r="P10" s="89" t="str">
        <x:v>No</x:v>
      </x:c>
      <x:c r="Q10" s="52" t="str">
        <x:v>None</x:v>
      </x:c>
      <x:c r="R10" s="52" t="str">
        <x:v>Panel animation is suppressed for keyboard tab changes.</x:v>
      </x:c>
    </x:row>
    <x:row r="11" ht="76" customHeight="1">
      <x:c r="A11" s="52" t="str">
        <x:v>RETEST-002</x:v>
      </x:c>
      <x:c r="B11" s="52" t="str">
        <x:v>auth_validation_large</x:v>
      </x:c>
      <x:c r="C11" s="52" t="str">
        <x:v>BIRD-01</x:v>
      </x:c>
      <x:c r="D11" s="52" t="str">
        <x:v>Mascot UI</x:v>
      </x:c>
      <x:c r="E11" s="88" t="str">
        <x:v>P1</x:v>
      </x:c>
      <x:c r="F11" s="87" t="str">
        <x:v>PASS</x:v>
      </x:c>
      <x:c r="G11" s="52" t="str">
        <x:v>Large desktop</x:v>
      </x:c>
      <x:c r="H11" s="52" t="str">
        <x:v>1440x900</x:v>
      </x:c>
      <x:c r="I11" s="52" t="str">
        <x:v>/auth</x:v>
      </x:c>
      <x:c r="J11" s="52" t="str">
        <x:v>Birdee's eye looks proportionate and does not bulge outside the reference silhouette.</x:v>
      </x:c>
      <x:c r="K11" s="52" t="str">
        <x:v>Eye measured about 24x25 px and pupil about 14x14 px within a 216 px mascot; no protrusion was visible.</x:v>
      </x:c>
      <x:c r="L11" s="52" t="str">
        <x:v>Bounding boxes and screenshot inspection.</x:v>
      </x:c>
      <x:c r="M11" s="52" t="str">
        <x:v>No app error.</x:v>
      </x:c>
      <x:c r="N11" s="52" t="str">
        <x:v>Yes</x:v>
      </x:c>
      <x:c r="O11" s="52" t="str">
        <x:v>None</x:v>
      </x:c>
      <x:c r="P11" s="89" t="str">
        <x:v>No</x:v>
      </x:c>
      <x:c r="Q11" s="52" t="str">
        <x:v>None</x:v>
      </x:c>
      <x:c r="R11" s="52" t="str">
        <x:v>Blink remains brief and occasional.</x:v>
      </x:c>
    </x:row>
    <x:row r="12" ht="76" customHeight="1">
      <x:c r="A12" s="52" t="str">
        <x:v>RETEST-003</x:v>
      </x:c>
      <x:c r="B12" s="52" t="str">
        <x:v>auth_medium_keyboard</x:v>
      </x:c>
      <x:c r="C12" s="52" t="str">
        <x:v>S-02</x:v>
      </x:c>
      <x:c r="D12" s="52" t="str">
        <x:v>Signup validation</x:v>
      </x:c>
      <x:c r="E12" s="88" t="str">
        <x:v>P1</x:v>
      </x:c>
      <x:c r="F12" s="87" t="str">
        <x:v>PASS</x:v>
      </x:c>
      <x:c r="G12" s="52" t="str">
        <x:v>Medium desktop</x:v>
      </x:c>
      <x:c r="H12" s="52" t="str">
        <x:v>1024x768</x:v>
      </x:c>
      <x:c r="I12" s="52" t="str">
        <x:v>/auth?mode=signup</x:v>
      </x:c>
      <x:c r="J12" s="52" t="str">
        <x:v>Passwords under eight characters are rejected locally with no auth request.</x:v>
      </x:c>
      <x:c r="K12" s="52" t="str">
        <x:v>A five-character password showed the eight-character message and sent zero auth requests.</x:v>
      </x:c>
      <x:c r="L12" s="52" t="str">
        <x:v>Alert copy and network request count.</x:v>
      </x:c>
      <x:c r="M12" s="52" t="str">
        <x:v>Zero auth requests.</x:v>
      </x:c>
      <x:c r="N12" s="52" t="str">
        <x:v>Yes</x:v>
      </x:c>
      <x:c r="O12" s="52" t="str">
        <x:v>None</x:v>
      </x:c>
      <x:c r="P12" s="89" t="str">
        <x:v>No</x:v>
      </x:c>
      <x:c r="Q12" s="52" t="str">
        <x:v>None</x:v>
      </x:c>
      <x:c r="R12" s="52" t="str">
        <x:v>UI, minLength, and submit guard now agree.</x:v>
      </x:c>
    </x:row>
    <x:row r="13" ht="76" customHeight="1">
      <x:c r="A13" s="52" t="str">
        <x:v>RETEST-003</x:v>
      </x:c>
      <x:c r="B13" s="52" t="str">
        <x:v>auth_medium_keyboard</x:v>
      </x:c>
      <x:c r="C13" s="52" t="str">
        <x:v>RESP-MED-01</x:v>
      </x:c>
      <x:c r="D13" s="52" t="str">
        <x:v>Responsive UI</x:v>
      </x:c>
      <x:c r="E13" s="88" t="str">
        <x:v>P1</x:v>
      </x:c>
      <x:c r="F13" s="87" t="str">
        <x:v>PASS</x:v>
      </x:c>
      <x:c r="G13" s="52" t="str">
        <x:v>Medium desktop</x:v>
      </x:c>
      <x:c r="H13" s="52" t="str">
        <x:v>1024x768</x:v>
      </x:c>
      <x:c r="I13" s="52" t="str">
        <x:v>/auth?mode=signup</x:v>
      </x:c>
      <x:c r="J13" s="52" t="str">
        <x:v>Birdee remains fully visible within the viewport.</x:v>
      </x:c>
      <x:c r="K13" s="52" t="str">
        <x:v>Mascot was fully visible with no top clipping.</x:v>
      </x:c>
      <x:c r="L13" s="52" t="str">
        <x:v>Screenshot and bounding rectangle.</x:v>
      </x:c>
      <x:c r="M13" s="52" t="str">
        <x:v>No app error.</x:v>
      </x:c>
      <x:c r="N13" s="52" t="str">
        <x:v>Yes</x:v>
      </x:c>
      <x:c r="O13" s="52" t="str">
        <x:v>None</x:v>
      </x:c>
      <x:c r="P13" s="89" t="str">
        <x:v>No</x:v>
      </x:c>
      <x:c r="Q13" s="52" t="str">
        <x:v>None</x:v>
      </x:c>
      <x:c r="R13" s="52" t="str">
        <x:v>Low-height mascot sizing was clamped.</x:v>
      </x:c>
    </x:row>
    <x:row r="14" ht="76" customHeight="1">
      <x:c r="A14" s="52" t="str">
        <x:v>RETEST-003</x:v>
      </x:c>
      <x:c r="B14" s="52" t="str">
        <x:v>auth_medium_keyboard</x:v>
      </x:c>
      <x:c r="C14" s="52" t="str">
        <x:v>RESP-MED-02</x:v>
      </x:c>
      <x:c r="D14" s="52" t="str">
        <x:v>Responsive UI</x:v>
      </x:c>
      <x:c r="E14" s="88" t="str">
        <x:v>P1</x:v>
      </x:c>
      <x:c r="F14" s="87" t="str">
        <x:v>PASS</x:v>
      </x:c>
      <x:c r="G14" s="52" t="str">
        <x:v>Small desktop/tablet</x:v>
      </x:c>
      <x:c r="H14" s="52" t="str">
        <x:v>768x900</x:v>
      </x:c>
      <x:c r="I14" s="52" t="str">
        <x:v>/auth?mode=signup</x:v>
      </x:c>
      <x:c r="J14" s="52" t="str">
        <x:v>No horizontal scrolling.</x:v>
      </x:c>
      <x:c r="K14" s="52" t="str">
        <x:v>scrollWidth equaled innerWidth at 768 px.</x:v>
      </x:c>
      <x:c r="L14" s="52" t="str">
        <x:v>DOM measurements.</x:v>
      </x:c>
      <x:c r="M14" s="52" t="str">
        <x:v>No app error.</x:v>
      </x:c>
      <x:c r="N14" s="52" t="str">
        <x:v>Yes</x:v>
      </x:c>
      <x:c r="O14" s="52" t="str">
        <x:v>None</x:v>
      </x:c>
      <x:c r="P14" s="89" t="str">
        <x:v>No</x:v>
      </x:c>
      <x:c r="Q14" s="52" t="str">
        <x:v>None</x:v>
      </x:c>
      <x:c r="R14" s="52" t="str">
        <x:v>Responsive grid no longer contributes the previous 2 px overflow.</x:v>
      </x:c>
    </x:row>
    <x:row r="15" ht="76" customHeight="1">
      <x:c r="A15" s="52" t="str">
        <x:v>RETEST-004</x:v>
      </x:c>
      <x:c r="B15" s="52" t="str">
        <x:v>auth_mobile_easy</x:v>
      </x:c>
      <x:c r="C15" s="52" t="str">
        <x:v>E-13</x:v>
      </x:c>
      <x:c r="D15" s="52" t="str">
        <x:v>Mobile auth</x:v>
      </x:c>
      <x:c r="E15" s="88" t="str">
        <x:v>P1</x:v>
      </x:c>
      <x:c r="F15" s="87" t="str">
        <x:v>PASS</x:v>
      </x:c>
      <x:c r="G15" s="52" t="str">
        <x:v>Mobile</x:v>
      </x:c>
      <x:c r="H15" s="52" t="str">
        <x:v>390x844</x:v>
      </x:c>
      <x:c r="I15" s="52" t="str">
        <x:v>Signup and login</x:v>
      </x:c>
      <x:c r="J15" s="52" t="str">
        <x:v>No horizontal overflow; mode controls work both ways; relevant switch targets are at least 44 px.</x:v>
      </x:c>
      <x:c r="K15" s="52" t="str">
        <x:v>No overflow, top and bottom switches worked, and the final fresh-tab remeasure met the 44 px target.</x:v>
      </x:c>
      <x:c r="L15" s="52" t="str">
        <x:v>DOM widths, target rectangles, and navigation assertions.</x:v>
      </x:c>
      <x:c r="M15" s="52" t="str">
        <x:v>No app error.</x:v>
      </x:c>
      <x:c r="N15" s="52" t="str">
        <x:v>Yes</x:v>
      </x:c>
      <x:c r="O15" s="52" t="str">
        <x:v>None</x:v>
      </x:c>
      <x:c r="P15" s="89" t="str">
        <x:v>No</x:v>
      </x:c>
      <x:c r="Q15" s="52" t="str">
        <x:v>None</x:v>
      </x:c>
      <x:c r="R15" s="52" t="str">
        <x:v>Primary fields remain 48 px high.</x:v>
      </x:c>
    </x:row>
    <x:row r="16" ht="76" customHeight="1">
      <x:c r="A16" s="52" t="str">
        <x:v>RETEST-004</x:v>
      </x:c>
      <x:c r="B16" s="52" t="str">
        <x:v>auth_mobile_easy</x:v>
      </x:c>
      <x:c r="C16" s="52" t="str">
        <x:v>E-14</x:v>
      </x:c>
      <x:c r="D16" s="52" t="str">
        <x:v>Short mobile auth</x:v>
      </x:c>
      <x:c r="E16" s="88" t="str">
        <x:v>P1</x:v>
      </x:c>
      <x:c r="F16" s="87" t="str">
        <x:v>PASS</x:v>
      </x:c>
      <x:c r="G16" s="52" t="str">
        <x:v>Short mobile</x:v>
      </x:c>
      <x:c r="H16" s="52" t="str">
        <x:v>390x700</x:v>
      </x:c>
      <x:c r="I16" s="52" t="str">
        <x:v>Signup and login</x:v>
      </x:c>
      <x:c r="J16" s="52" t="str">
        <x:v>Content scrolls without fixed overlap; controls remain reachable and at least 44 px.</x:v>
      </x:c>
      <x:c r="K16" s="52" t="str">
        <x:v>No overflow or overlap; controls remained reachable and met the final target after remeasure.</x:v>
      </x:c>
      <x:c r="L16" s="52" t="str">
        <x:v>DOM widths, target rectangles, and screenshot inspection.</x:v>
      </x:c>
      <x:c r="M16" s="52" t="str">
        <x:v>No app error.</x:v>
      </x:c>
      <x:c r="N16" s="52" t="str">
        <x:v>Yes</x:v>
      </x:c>
      <x:c r="O16" s="52" t="str">
        <x:v>None</x:v>
      </x:c>
      <x:c r="P16" s="89" t="str">
        <x:v>No</x:v>
      </x:c>
      <x:c r="Q16" s="52" t="str">
        <x:v>None</x:v>
      </x:c>
      <x:c r="R16" s="52" t="str">
        <x:v>Virtual-keyboard behavior remains a manual-device follow-up.</x:v>
      </x:c>
    </x:row>
    <x:row r="17" ht="76" customHeight="1">
      <x:c r="A17" s="52" t="str">
        <x:v>RETEST-004</x:v>
      </x:c>
      <x:c r="B17" s="52" t="str">
        <x:v>auth_mobile_easy</x:v>
      </x:c>
      <x:c r="C17" s="52" t="str">
        <x:v>S-02</x:v>
      </x:c>
      <x:c r="D17" s="52" t="str">
        <x:v>Mobile signup validation</x:v>
      </x:c>
      <x:c r="E17" s="88" t="str">
        <x:v>P1</x:v>
      </x:c>
      <x:c r="F17" s="87" t="str">
        <x:v>PASS</x:v>
      </x:c>
      <x:c r="G17" s="52" t="str">
        <x:v>Mobile</x:v>
      </x:c>
      <x:c r="H17" s="52" t="str">
        <x:v>390x844 and 390x700</x:v>
      </x:c>
      <x:c r="I17" s="52" t="str">
        <x:v>/auth?mode=signup</x:v>
      </x:c>
      <x:c r="J17" s="52" t="str">
        <x:v>Short passwords are blocked locally and all form actions remain reachable.</x:v>
      </x:c>
      <x:c r="K17" s="52" t="str">
        <x:v>Five-character password produced local guidance and zero auth network requests.</x:v>
      </x:c>
      <x:c r="L17" s="52" t="str">
        <x:v>Alert, network count, and mobile layouts.</x:v>
      </x:c>
      <x:c r="M17" s="52" t="str">
        <x:v>Zero auth requests.</x:v>
      </x:c>
      <x:c r="N17" s="52" t="str">
        <x:v>Yes</x:v>
      </x:c>
      <x:c r="O17" s="52" t="str">
        <x:v>None</x:v>
      </x:c>
      <x:c r="P17" s="89" t="str">
        <x:v>No</x:v>
      </x:c>
      <x:c r="Q17" s="52" t="str">
        <x:v>None</x:v>
      </x:c>
      <x:c r="R17" s="52" t="str">
        <x:v>No account was created.</x:v>
      </x:c>
    </x:row>
    <x:row r="18" ht="76" customHeight="1">
      <x:c r="A18" s="52" t="str">
        <x:v>RETEST-004</x:v>
      </x:c>
      <x:c r="B18" s="52" t="str">
        <x:v>auth_mobile_easy</x:v>
      </x:c>
      <x:c r="C18" s="52" t="str">
        <x:v>P-02</x:v>
      </x:c>
      <x:c r="D18" s="52" t="str">
        <x:v>Mobile route protection</x:v>
      </x:c>
      <x:c r="E18" s="88" t="str">
        <x:v>P0</x:v>
      </x:c>
      <x:c r="F18" s="87" t="str">
        <x:v>PASS</x:v>
      </x:c>
      <x:c r="G18" s="52" t="str">
        <x:v>Short mobile</x:v>
      </x:c>
      <x:c r="H18" s="52" t="str">
        <x:v>390x700</x:v>
      </x:c>
      <x:c r="I18" s="52" t="str">
        <x:v>Protected routes</x:v>
      </x:c>
      <x:c r="J18" s="52" t="str">
        <x:v>Signed-out protected routes end at login.</x:v>
      </x:c>
      <x:c r="K18" s="52" t="str">
        <x:v>Protected routes settled at /auth?mode=login with no protected content.</x:v>
      </x:c>
      <x:c r="L18" s="52" t="str">
        <x:v>URLs and settled DOM.</x:v>
      </x:c>
      <x:c r="M18" s="52" t="str">
        <x:v>No app error.</x:v>
      </x:c>
      <x:c r="N18" s="52" t="str">
        <x:v>Yes</x:v>
      </x:c>
      <x:c r="O18" s="52" t="str">
        <x:v>None</x:v>
      </x:c>
      <x:c r="P18" s="89" t="str">
        <x:v>No</x:v>
      </x:c>
      <x:c r="Q18" s="52" t="str">
        <x:v>None</x:v>
      </x:c>
      <x:c r="R18" s="52" t="str">
        <x:v>Rechecked in the mobile wave.</x:v>
      </x:c>
    </x:row>
    <x:row r="19" ht="76" customHeight="1">
      <x:c r="A19" s="52" t="str">
        <x:v>RETEST-004</x:v>
      </x:c>
      <x:c r="B19" s="52" t="str">
        <x:v>auth_mobile_easy</x:v>
      </x:c>
      <x:c r="C19" s="52" t="str">
        <x:v>BIRD-02</x:v>
      </x:c>
      <x:c r="D19" s="52" t="str">
        <x:v>Mobile mascot UI</x:v>
      </x:c>
      <x:c r="E19" s="88" t="str">
        <x:v>P1</x:v>
      </x:c>
      <x:c r="F19" s="87" t="str">
        <x:v>PASS</x:v>
      </x:c>
      <x:c r="G19" s="52" t="str">
        <x:v>Mobile</x:v>
      </x:c>
      <x:c r="H19" s="52" t="str">
        <x:v>390x844 and 390x700</x:v>
      </x:c>
      <x:c r="I19" s="52" t="str">
        <x:v>/auth</x:v>
      </x:c>
      <x:c r="J19" s="52" t="str">
        <x:v>Eye remains restrained and blink is subtle.</x:v>
      </x:c>
      <x:c r="K19" s="52" t="str">
        <x:v>Eye was about 13x13 px with an 8x8 px pupil on a 116 px mascot; the brief blink state was observed.</x:v>
      </x:c>
      <x:c r="L19" s="52" t="str">
        <x:v>Bounding boxes, screenshot, and blink attribute.</x:v>
      </x:c>
      <x:c r="M19" s="52" t="str">
        <x:v>No app error.</x:v>
      </x:c>
      <x:c r="N19" s="52" t="str">
        <x:v>Yes</x:v>
      </x:c>
      <x:c r="O19" s="52" t="str">
        <x:v>None</x:v>
      </x:c>
      <x:c r="P19" s="89" t="str">
        <x:v>No</x:v>
      </x:c>
      <x:c r="Q19" s="52" t="str">
        <x:v>None</x:v>
      </x:c>
      <x:c r="R19" s="52" t="str">
        <x:v>Cursor-following remains intentionally absent; blink is reduced-motion safe.</x:v>
      </x:c>
    </x:row>
    <x:row r="20" ht="76" customHeight="1">
      <x:c r="A20" s="52" t="str">
        <x:v>RETEST-005</x:v>
      </x:c>
      <x:c r="B20" s="52" t="str">
        <x:v>google_email_easy</x:v>
      </x:c>
      <x:c r="C20" s="52" t="str">
        <x:v>P-04</x:v>
      </x:c>
      <x:c r="D20" s="52" t="str">
        <x:v>Google provider</x:v>
      </x:c>
      <x:c r="E20" s="88" t="str">
        <x:v>P1</x:v>
      </x:c>
      <x:c r="F20" s="87" t="str">
        <x:v>PASS</x:v>
      </x:c>
      <x:c r="G20" s="52" t="str">
        <x:v>Large desktop</x:v>
      </x:c>
      <x:c r="H20" s="52" t="str">
        <x:v>Fresh Chrome tab</x:v>
      </x:c>
      <x:c r="I20" s="52" t="str">
        <x:v>/auth?mode=signup</x:v>
      </x:c>
      <x:c r="J20" s="52" t="str">
        <x:v>Disabled Google provider is clearly unavailable and non-clickable.</x:v>
      </x:c>
      <x:c r="K20" s="52" t="str">
        <x:v>Control settled from Checking Google to disabled Google sign-in coming soon; no consent flow could open.</x:v>
      </x:c>
      <x:c r="L20" s="52" t="str">
        <x:v>Disabled-state locator and DOM.</x:v>
      </x:c>
      <x:c r="M20" s="52" t="str">
        <x:v>No app-specific error.</x:v>
      </x:c>
      <x:c r="N20" s="52" t="str">
        <x:v>Yes</x:v>
      </x:c>
      <x:c r="O20" s="52" t="str">
        <x:v>None</x:v>
      </x:c>
      <x:c r="P20" s="89" t="str">
        <x:v>No</x:v>
      </x:c>
      <x:c r="Q20" s="52" t="str">
        <x:v>None</x:v>
      </x:c>
      <x:c r="R20" s="52" t="str">
        <x:v>This is clear launch-state communication, not active Google OAuth.</x:v>
      </x:c>
    </x:row>
    <x:row r="21" ht="76" customHeight="1">
      <x:c r="A21" s="52" t="str">
        <x:v>RETEST-005</x:v>
      </x:c>
      <x:c r="B21" s="52" t="str">
        <x:v>google_email_easy</x:v>
      </x:c>
      <x:c r="C21" s="52" t="str">
        <x:v>A-03-UX</x:v>
      </x:c>
      <x:c r="D21" s="52" t="str">
        <x:v>Password reset UX</x:v>
      </x:c>
      <x:c r="E21" s="88" t="str">
        <x:v>P0</x:v>
      </x:c>
      <x:c r="F21" s="87" t="str">
        <x:v>PASS</x:v>
      </x:c>
      <x:c r="G21" s="52" t="str">
        <x:v>Large desktop</x:v>
      </x:c>
      <x:c r="H21" s="52" t="str">
        <x:v>Fresh Chrome tab</x:v>
      </x:c>
      <x:c r="I21" s="52" t="str">
        <x:v>/auth/forgot-password</x:v>
      </x:c>
      <x:c r="J21" s="52" t="str">
        <x:v>Submission uses privacy-safe copy that does not reveal account existence.</x:v>
      </x:c>
      <x:c r="K21" s="52" t="str">
        <x:v>One authorized submission showed the generic account-safe confirmation and return-to-login navigation worked.</x:v>
      </x:c>
      <x:c r="L21" s="52" t="str">
        <x:v>Confirmation heading/copy and URL checks.</x:v>
      </x:c>
      <x:c r="M21" s="52" t="str">
        <x:v>No app-specific error.</x:v>
      </x:c>
      <x:c r="N21" s="52" t="str">
        <x:v>One send</x:v>
      </x:c>
      <x:c r="O21" s="52" t="str">
        <x:v>None</x:v>
      </x:c>
      <x:c r="P21" s="89" t="str">
        <x:v>No</x:v>
      </x:c>
      <x:c r="Q21" s="52" t="str">
        <x:v>ervinpelonio@gmail.com</x:v>
      </x:c>
      <x:c r="R21" s="52" t="str">
        <x:v>No account was created or modified.</x:v>
      </x:c>
    </x:row>
    <x:row r="22" ht="76" customHeight="1">
      <x:c r="A22" s="52" t="str">
        <x:v>RETEST-005</x:v>
      </x:c>
      <x:c r="B22" s="52" t="str">
        <x:v>Root + Gmail verification</x:v>
      </x:c>
      <x:c r="C22" s="52" t="str">
        <x:v>A-03-MAIL</x:v>
      </x:c>
      <x:c r="D22" s="52" t="str">
        <x:v>Password reset delivery</x:v>
      </x:c>
      <x:c r="E22" s="88" t="str">
        <x:v>P0</x:v>
      </x:c>
      <x:c r="F22" s="87" t="str">
        <x:v>PASS</x:v>
      </x:c>
      <x:c r="G22" s="52" t="str">
        <x:v>Large desktop</x:v>
      </x:c>
      <x:c r="H22" s="52" t="str">
        <x:v>Fresh Chrome tab</x:v>
      </x:c>
      <x:c r="I22" s="52" t="str">
        <x:v>/auth/forgot-password</x:v>
      </x:c>
      <x:c r="J22" s="52" t="str">
        <x:v>A registered user receives one recovery email, reaches the reset form, changes the password, and can log in with it.</x:v>
      </x:c>
      <x:c r="K22" s="52" t="str">
        <x:v>The recovery email arrived, its link reached /auth/reset-password, the new password saved, and a signed-out password login returned to onboarding.</x:v>
      </x:c>
      <x:c r="L22" s="52" t="str">
        <x:v>Gmail message, Supabase mail.send/recovery/login logs, callback URL, and fresh login.</x:v>
      </x:c>
      <x:c r="M22" s="52" t="str">
        <x:v>No app error; /recover, recovery token exchange, password update, and later password login returned success.</x:v>
      </x:c>
      <x:c r="N22" s="52" t="str">
        <x:v>Yes</x:v>
      </x:c>
      <x:c r="O22" s="52" t="str">
        <x:v>None</x:v>
      </x:c>
      <x:c r="P22" s="89" t="str">
        <x:v>No</x:v>
      </x:c>
      <x:c r="Q22" s="52" t="str">
        <x:v>ervinpelonio@gmail.com</x:v>
      </x:c>
      <x:c r="R22" s="52" t="str">
        <x:v>The test identity remains confirmed and signed out after completion.</x:v>
      </x:c>
    </x:row>
    <x:row r="23" ht="76" customHeight="1">
      <x:c r="A23" s="52" t="str">
        <x:v>RETEST-006</x:v>
      </x:c>
      <x:c r="B23" s="52" t="str">
        <x:v>Root verification</x:v>
      </x:c>
      <x:c r="C23" s="52" t="str">
        <x:v>DOC-01</x:v>
      </x:c>
      <x:c r="D23" s="52" t="str">
        <x:v>Test documentation</x:v>
      </x:c>
      <x:c r="E23" s="88" t="str">
        <x:v>P2</x:v>
      </x:c>
      <x:c r="F23" s="87" t="str">
        <x:v>PASS</x:v>
      </x:c>
      <x:c r="G23" s="52" t="str">
        <x:v>All</x:v>
      </x:c>
      <x:c r="H23" s="52" t="str">
        <x:v>N/A</x:v>
      </x:c>
      <x:c r="I23" s="52" t="str">
        <x:v>Group 1 UAT reflects localhost:3001 and the unified auth routes/copy.</x:v>
      </x:c>
      <x:c r="J23" s="52" t="str">
        <x:v>Port, login/signup routes, disabled-Google wording, and gateway procedures were updated.</x:v>
      </x:c>
      <x:c r="K23" s="52" t="str">
        <x:v>Markdown search for stale auth routes/port.</x:v>
      </x:c>
      <x:c r="L23" s="52" t="str">
        <x:v>N/A</x:v>
      </x:c>
      <x:c r="M23" s="52" t="str">
        <x:v>Yes</x:v>
      </x:c>
      <x:c r="N23" s="52" t="str">
        <x:v>None</x:v>
      </x:c>
      <x:c r="O23" s="52" t="str">
        <x:v>No</x:v>
      </x:c>
      <x:c r="P23" s="89" t="str">
        <x:v>None</x:v>
      </x:c>
      <x:c r="Q23" s="52" t="str">
        <x:v>Google activation checklist was updated to port 3001 as well.</x:v>
      </x:c>
      <x:c r="R23" s="52"/>
    </x:row>
    <x:row r="24" ht="76" customHeight="1">
      <x:c r="A24" s="52" t="str">
        <x:v>RETEST-006</x:v>
      </x:c>
      <x:c r="B24" s="52" t="str">
        <x:v>Root verification</x:v>
      </x:c>
      <x:c r="C24" s="52" t="str">
        <x:v>BUILD-01</x:v>
      </x:c>
      <x:c r="D24" s="52" t="str">
        <x:v>Local validation</x:v>
      </x:c>
      <x:c r="E24" s="88" t="str">
        <x:v>P1</x:v>
      </x:c>
      <x:c r="F24" s="87" t="str">
        <x:v>PASS</x:v>
      </x:c>
      <x:c r="G24" s="52" t="str">
        <x:v>Local</x:v>
      </x:c>
      <x:c r="H24" s="52" t="str">
        <x:v>TypeScript and Vitest</x:v>
      </x:c>
      <x:c r="I24" s="52" t="str">
        <x:v>Repository type-checks and tests pass after fixes.</x:v>
      </x:c>
      <x:c r="J24" s="52" t="str">
        <x:v>TypeScript passed and 12 test files / 70 tests passed.</x:v>
      </x:c>
      <x:c r="K24" s="52" t="str">
        <x:v>Command output.</x:v>
      </x:c>
      <x:c r="L24" s="52" t="str">
        <x:v>Production compilation succeeded; page-data collection was invalidated by two concurrent dev servers sharing .next.</x:v>
      </x:c>
      <x:c r="M24" s="52" t="str">
        <x:v>Yes</x:v>
      </x:c>
      <x:c r="N24" s="52" t="str">
        <x:v>None</x:v>
      </x:c>
      <x:c r="O24" s="52" t="str">
        <x:v>No</x:v>
      </x:c>
      <x:c r="P24" s="89" t="str">
        <x:v>None</x:v>
      </x:c>
      <x:c r="Q24" s="52" t="str">
        <x:v>The cache was rebuilt and one clean localhost:3001 server was restored and returned HTTP 200.</x:v>
      </x:c>
      <x:c r="R24" s="52"/>
    </x:row>
  </x:sheetData>
  <x:mergeCells>
    <x:mergeCell ref="A1:R2"/>
    <x:mergeCell ref="A3:R3"/>
  </x:mergeCells>
  <x:pageMargins left="0.7" right="0.7" top="0.75" bottom="0.75" header="0.3" footer="0.3"/>
  <x:tableParts count="1">
    <x:tablePart xmlns:r="http://schemas.openxmlformats.org/officeDocument/2006/relationships" r:id="Rf1647243435a43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8" hidden="0" customWidth="1"/>
    <x:col min="5" max="5" width="22" hidden="0" customWidth="1"/>
    <x:col min="6" max="6" width="44" hidden="0" customWidth="1"/>
    <x:col min="7" max="7" width="44" hidden="0" customWidth="1"/>
    <x:col min="8" max="8" width="44" hidden="0" customWidth="1"/>
    <x:col min="9" max="9" width="26" hidden="0" customWidth="1"/>
  </x:cols>
  <x:sheetData>
    <x:row r="1" ht="36" customHeight="1">
      <x:c r="A1" s="4" t="str">
        <x:v>Defect disposition after retest</x:v>
      </x:c>
      <x:c r="B1" s="4" t="str">
        <x:v>Defect disposition after retest</x:v>
      </x:c>
      <x:c r="C1" s="4" t="str">
        <x:v>Defect disposition after retest</x:v>
      </x:c>
      <x:c r="D1" s="4" t="str">
        <x:v>Defect disposition after retest</x:v>
      </x:c>
      <x:c r="E1" s="4" t="str">
        <x:v>Defect disposition after retest</x:v>
      </x:c>
      <x:c r="F1" s="4" t="str">
        <x:v>Defect disposition after retest</x:v>
      </x:c>
      <x:c r="G1" s="4" t="str">
        <x:v>Defect disposition after retest</x:v>
      </x:c>
      <x:c r="H1" s="4" t="str">
        <x:v>Defect disposition after retest</x:v>
      </x:c>
      <x:c r="I1" s="4" t="str">
        <x:v>Defect disposition after retest</x:v>
      </x:c>
    </x:row>
    <x:row r="2" ht="36" customHeight="1">
      <x:c r="A2" s="4" t="str">
        <x:v>Defect disposition after retest</x:v>
      </x:c>
      <x:c r="B2" s="4" t="str">
        <x:v>Defect disposition after retest</x:v>
      </x:c>
      <x:c r="C2" s="4" t="str">
        <x:v>Defect disposition after retest</x:v>
      </x:c>
      <x:c r="D2" s="4" t="str">
        <x:v>Defect disposition after retest</x:v>
      </x:c>
      <x:c r="E2" s="4" t="str">
        <x:v>Defect disposition after retest</x:v>
      </x:c>
      <x:c r="F2" s="4" t="str">
        <x:v>Defect disposition after retest</x:v>
      </x:c>
      <x:c r="G2" s="4" t="str">
        <x:v>Defect disposition after retest</x:v>
      </x:c>
      <x:c r="H2" s="4" t="str">
        <x:v>Defect disposition after retest</x:v>
      </x:c>
      <x:c r="I2" s="4" t="str">
        <x:v>Defect disposition after retest</x:v>
      </x:c>
    </x:row>
    <x:row r="3">
      <x:c r="A3" s="84" t="str">
        <x:v>All original agent findings are retained here with their final disposition. Reclassified means the original observation was valid but was not an application defect.</x:v>
      </x:c>
      <x:c r="B3" s="84" t="str">
        <x:v>All original agent findings are retained here with their final disposition. Reclassified means the original observation was valid but was not an application defect.</x:v>
      </x:c>
      <x:c r="C3" s="84" t="str">
        <x:v>All original agent findings are retained here with their final disposition. Reclassified means the original observation was valid but was not an application defect.</x:v>
      </x:c>
      <x:c r="D3" s="84" t="str">
        <x:v>All original agent findings are retained here with their final disposition. Reclassified means the original observation was valid but was not an application defect.</x:v>
      </x:c>
      <x:c r="E3" s="84" t="str">
        <x:v>All original agent findings are retained here with their final disposition. Reclassified means the original observation was valid but was not an application defect.</x:v>
      </x:c>
      <x:c r="F3" s="84" t="str">
        <x:v>All original agent findings are retained here with their final disposition. Reclassified means the original observation was valid but was not an application defect.</x:v>
      </x:c>
      <x:c r="G3" s="84" t="str">
        <x:v>All original agent findings are retained here with their final disposition. Reclassified means the original observation was valid but was not an application defect.</x:v>
      </x:c>
      <x:c r="H3" s="84" t="str">
        <x:v>All original agent findings are retained here with their final disposition. Reclassified means the original observation was valid but was not an application defect.</x:v>
      </x:c>
      <x:c r="I3" s="84" t="str">
        <x:v>All original agent findings are retained here with their final disposition. Reclassified means the original observation was valid but was not an application defect.</x:v>
      </x:c>
    </x:row>
    <x:row r="4" ht="32" customHeight="1">
      <x:c r="A4" s="50" t="str">
        <x:v>Defect ID</x:v>
      </x:c>
      <x:c r="B4" s="50" t="str">
        <x:v>Linked Tests</x:v>
      </x:c>
      <x:c r="C4" s="50" t="str">
        <x:v>Priority</x:v>
      </x:c>
      <x:c r="D4" s="50" t="str">
        <x:v>Status</x:v>
      </x:c>
      <x:c r="E4" s="50" t="str">
        <x:v>Category</x:v>
      </x:c>
      <x:c r="F4" s="50" t="str">
        <x:v>Original finding</x:v>
      </x:c>
      <x:c r="G4" s="50" t="str">
        <x:v>Fix / decision</x:v>
      </x:c>
      <x:c r="H4" s="50" t="str">
        <x:v>Retest evidence</x:v>
      </x:c>
      <x:c r="I4" s="50" t="str">
        <x:v>Owner / Next Step</x:v>
      </x:c>
    </x:row>
    <x:row r="5" ht="82" customHeight="1">
      <x:c r="A5" s="52" t="str">
        <x:v>DEF-001</x:v>
      </x:c>
      <x:c r="B5" s="52" t="str">
        <x:v>S-02</x:v>
      </x:c>
      <x:c r="C5" s="92" t="str">
        <x:v>P1</x:v>
      </x:c>
      <x:c r="D5" s="87" t="str">
        <x:v>Resolved</x:v>
      </x:c>
      <x:c r="E5" s="52" t="str">
        <x:v>Auth validation</x:v>
      </x:c>
      <x:c r="F5" s="52" t="str">
        <x:v>Password policy mismatch and server-bound short-password requests.</x:v>
      </x:c>
      <x:c r="G5" s="52" t="str">
        <x:v>Explicit eight-character submit guard added to signup and reset forms.</x:v>
      </x:c>
      <x:c r="H5" s="52" t="str">
        <x:v>Five-character password is rejected locally with zero auth requests.</x:v>
      </x:c>
      <x:c r="I5" s="52" t="str">
        <x:v>Closed</x:v>
      </x:c>
    </x:row>
    <x:row r="6" ht="82" customHeight="1">
      <x:c r="A6" s="52" t="str">
        <x:v>DEF-002</x:v>
      </x:c>
      <x:c r="B6" s="52" t="str">
        <x:v>A-03</x:v>
      </x:c>
      <x:c r="C6" s="92" t="str">
        <x:v>P0</x:v>
      </x:c>
      <x:c r="D6" s="87" t="str">
        <x:v>Resolved</x:v>
      </x:c>
      <x:c r="E6" s="52" t="str">
        <x:v>Email delivery acceptance</x:v>
      </x:c>
      <x:c r="F6" s="52" t="str">
        <x:v>UI success was previously interpreted as proof that an email should arrive for an unregistered address.</x:v>
      </x:c>
      <x:c r="G6" s="52" t="str">
        <x:v>A confirmed test identity was created and the full registered-user recovery path was executed.</x:v>
      </x:c>
      <x:c r="H6" s="52" t="str">
        <x:v>Recovery email, callback, password update, and a fresh password login all passed.</x:v>
      </x:c>
      <x:c r="I6" s="52" t="str">
        <x:v>Closed</x:v>
      </x:c>
    </x:row>
    <x:row r="7" ht="82" customHeight="1">
      <x:c r="A7" s="52" t="str">
        <x:v>DEF-003</x:v>
      </x:c>
      <x:c r="B7" s="52" t="str">
        <x:v>E-15</x:v>
      </x:c>
      <x:c r="C7" s="92" t="str">
        <x:v>P2</x:v>
      </x:c>
      <x:c r="D7" s="87" t="str">
        <x:v>Resolved</x:v>
      </x:c>
      <x:c r="E7" s="52" t="str">
        <x:v>Accessibility</x:v>
      </x:c>
      <x:c r="F7" s="52" t="str">
        <x:v>Arrow-key selection did not move tab focus.</x:v>
      </x:c>
      <x:c r="G7" s="52" t="str">
        <x:v>Roving focus and Home/End support implemented.</x:v>
      </x:c>
      <x:c r="H7" s="52" t="str">
        <x:v>All four keys synchronize focus, selection, URL, and panel.</x:v>
      </x:c>
      <x:c r="I7" s="52" t="str">
        <x:v>Closed</x:v>
      </x:c>
    </x:row>
    <x:row r="8" ht="82" customHeight="1">
      <x:c r="A8" s="52" t="str">
        <x:v>DEF-004</x:v>
      </x:c>
      <x:c r="B8" s="52" t="str">
        <x:v>RESP-MED-01</x:v>
      </x:c>
      <x:c r="C8" s="92" t="str">
        <x:v>P2</x:v>
      </x:c>
      <x:c r="D8" s="87" t="str">
        <x:v>Resolved</x:v>
      </x:c>
      <x:c r="E8" s="52" t="str">
        <x:v>Responsive UI</x:v>
      </x:c>
      <x:c r="F8" s="52" t="str">
        <x:v>Birdee clipped above the viewport at 1024x768.</x:v>
      </x:c>
      <x:c r="G8" s="52" t="str">
        <x:v>Low-height mascot dimensions and position were clamped.</x:v>
      </x:c>
      <x:c r="H8" s="52" t="str">
        <x:v>Fresh 1024x768 retest shows the full mascot.</x:v>
      </x:c>
      <x:c r="I8" s="52" t="str">
        <x:v>Closed</x:v>
      </x:c>
    </x:row>
    <x:row r="9" ht="82" customHeight="1">
      <x:c r="A9" s="52" t="str">
        <x:v>DEF-005</x:v>
      </x:c>
      <x:c r="B9" s="52" t="str">
        <x:v>RESP-MED-02</x:v>
      </x:c>
      <x:c r="C9" s="92" t="str">
        <x:v>P2</x:v>
      </x:c>
      <x:c r="D9" s="87" t="str">
        <x:v>Resolved</x:v>
      </x:c>
      <x:c r="E9" s="52" t="str">
        <x:v>Responsive UI</x:v>
      </x:c>
      <x:c r="F9" s="52" t="str">
        <x:v>Two-pixel horizontal overflow at 768x900.</x:v>
      </x:c>
      <x:c r="G9" s="52" t="str">
        <x:v>Auth grid min-width was corrected.</x:v>
      </x:c>
      <x:c r="H9" s="52" t="str">
        <x:v>scrollWidth equals innerWidth at 768 px.</x:v>
      </x:c>
      <x:c r="I9" s="52" t="str">
        <x:v>Closed</x:v>
      </x:c>
    </x:row>
    <x:row r="10" ht="82" customHeight="1">
      <x:c r="A10" s="52" t="str">
        <x:v>DEF-006</x:v>
      </x:c>
      <x:c r="B10" s="52" t="str">
        <x:v>E-13, E-14</x:v>
      </x:c>
      <x:c r="C10" s="92" t="str">
        <x:v>P2</x:v>
      </x:c>
      <x:c r="D10" s="87" t="str">
        <x:v>Resolved</x:v>
      </x:c>
      <x:c r="E10" s="52" t="str">
        <x:v>Mobile usability</x:v>
      </x:c>
      <x:c r="F10" s="52" t="str">
        <x:v>Secondary links and account-mode tabs had undersized touch areas.</x:v>
      </x:c>
      <x:c r="G10" s="52" t="str">
        <x:v>Footer switches were enlarged and top tabs now use a 44 px minimum height.</x:v>
      </x:c>
      <x:c r="H10" s="52" t="str">
        <x:v>Fresh mobile retest meets the 44 px target.</x:v>
      </x:c>
      <x:c r="I10" s="52" t="str">
        <x:v>Closed</x:v>
      </x:c>
    </x:row>
    <x:row r="11" ht="82" customHeight="1">
      <x:c r="A11" s="52" t="str">
        <x:v>DEF-007</x:v>
      </x:c>
      <x:c r="B11" s="52" t="str">
        <x:v>P-04</x:v>
      </x:c>
      <x:c r="C11" s="92" t="str">
        <x:v>P2</x:v>
      </x:c>
      <x:c r="D11" s="87" t="str">
        <x:v>Resolved</x:v>
      </x:c>
      <x:c r="E11" s="52" t="str">
        <x:v>Provider affordance</x:v>
      </x:c>
      <x:c r="F11" s="52" t="str">
        <x:v>Google looked available while the provider was disabled.</x:v>
      </x:c>
      <x:c r="G11" s="52" t="str">
        <x:v>Provider settings are checked before interaction; unavailable state is disabled and explicit.</x:v>
      </x:c>
      <x:c r="H11" s="52" t="str">
        <x:v>Fresh rerun shows disabled Google sign-in coming soon.</x:v>
      </x:c>
      <x:c r="I11" s="52" t="str">
        <x:v>Closed</x:v>
      </x:c>
    </x:row>
    <x:row r="12" ht="82" customHeight="1">
      <x:c r="A12" s="52" t="str">
        <x:v>DEF-008</x:v>
      </x:c>
      <x:c r="B12" s="52" t="str">
        <x:v>P-01</x:v>
      </x:c>
      <x:c r="C12" s="92" t="str">
        <x:v>P2</x:v>
      </x:c>
      <x:c r="D12" s="87" t="str">
        <x:v>Closed - environment</x:v>
      </x:c>
      <x:c r="E12" s="52" t="str">
        <x:v>Browser environment</x:v>
      </x:c>
      <x:c r="F12" s="52" t="str">
        <x:v>Extension injection produced a hydration warning in the first run.</x:v>
      </x:c>
      <x:c r="G12" s="52" t="str">
        <x:v>Rerun in a fresh tab and separate extension noise from app errors.</x:v>
      </x:c>
      <x:c r="H12" s="52" t="str">
        <x:v>The app-specific hydration problem did not reproduce.</x:v>
      </x:c>
      <x:c r="I12" s="52" t="str">
        <x:v>Closed</x:v>
      </x:c>
    </x:row>
    <x:row r="13" ht="82" customHeight="1">
      <x:c r="A13" s="52" t="str">
        <x:v>DEF-009</x:v>
      </x:c>
      <x:c r="B13" s="52" t="str">
        <x:v>DOC-01</x:v>
      </x:c>
      <x:c r="C13" s="92" t="str">
        <x:v>P3</x:v>
      </x:c>
      <x:c r="D13" s="87" t="str">
        <x:v>Resolved</x:v>
      </x:c>
      <x:c r="E13" s="52" t="str">
        <x:v>Documentation</x:v>
      </x:c>
      <x:c r="F13" s="52" t="str">
        <x:v>Group 1 UAT used port 3000 and retired standalone auth routes/copy.</x:v>
      </x:c>
      <x:c r="G13" s="52" t="str">
        <x:v>Updated to port 3001 and the unified /auth?mode=signup|login gateway.</x:v>
      </x:c>
      <x:c r="H13" s="52" t="str">
        <x:v>Stale-route search is clean in the two current Group 1 auth documents.</x:v>
      </x:c>
      <x:c r="I13" s="52" t="str">
        <x:v>Closed</x:v>
      </x:c>
    </x:row>
    <x:row r="14" ht="82" customHeight="1">
      <x:c r="A14" s="52" t="str">
        <x:v>DEF-010</x:v>
      </x:c>
      <x:c r="B14" s="52" t="str">
        <x:v>P-03</x:v>
      </x:c>
      <x:c r="C14" s="92" t="str">
        <x:v>P1</x:v>
      </x:c>
      <x:c r="D14" s="87" t="str">
        <x:v>Resolved</x:v>
      </x:c>
      <x:c r="E14" s="52" t="str">
        <x:v>API protection evidence</x:v>
      </x:c>
      <x:c r="F14" s="52" t="str">
        <x:v>Chrome extension previously blocked the agent's direct endpoint check.</x:v>
      </x:c>
      <x:c r="G14" s="52" t="str">
        <x:v>Product owner independently executed P-03.</x:v>
      </x:c>
      <x:c r="H14" s="52" t="str">
        <x:v>User confirmed P-03 passes.</x:v>
      </x:c>
      <x:c r="I14" s="52" t="str">
        <x:v>Closed</x:v>
      </x:c>
    </x:row>
    <x:row r="15" ht="82" customHeight="1">
      <x:c r="A15" s="52" t="str">
        <x:v>DEF-011</x:v>
      </x:c>
      <x:c r="B15" s="52" t="str">
        <x:v>S-01</x:v>
      </x:c>
      <x:c r="C15" s="92" t="str">
        <x:v>P1</x:v>
      </x:c>
      <x:c r="D15" s="87" t="str">
        <x:v>Resolved</x:v>
      </x:c>
      <x:c r="E15" s="52" t="str">
        <x:v>Auth navigation regression</x:v>
      </x:c>
      <x:c r="F15" s="52" t="str">
        <x:v>A stale development tab briefly stopped mode switches during the fix pass.</x:v>
      </x:c>
      <x:c r="G15" s="52" t="str">
        <x:v>Controls now combine real links with explicit state switching; retest used a fresh tab.</x:v>
      </x:c>
      <x:c r="H15" s="52" t="str">
        <x:v>Top, bottom, and keyboard paths all pass in both directions.</x:v>
      </x:c>
      <x:c r="I15" s="52" t="str">
        <x:v>Closed</x:v>
      </x:c>
    </x:row>
    <x:row r="16" ht="82" customHeight="1">
      <x:c r="A16" s="52" t="str">
        <x:v>DEF-012</x:v>
      </x:c>
      <x:c r="B16" s="52" t="str">
        <x:v>BIRD-01, BIRD-02</x:v>
      </x:c>
      <x:c r="C16" s="92" t="str">
        <x:v>P1</x:v>
      </x:c>
      <x:c r="D16" s="87" t="str">
        <x:v>Resolved</x:v>
      </x:c>
      <x:c r="E16" s="52" t="str">
        <x:v>Mascot UI</x:v>
      </x:c>
      <x:c r="F16" s="52" t="str">
        <x:v>Login Birdee's eye looked bulging and creepy.</x:v>
      </x:c>
      <x:c r="G16" s="52" t="str">
        <x:v>Eye and pupil were reduced, flattened, and aligned to the reference silhouette.</x:v>
      </x:c>
      <x:c r="H16" s="52" t="str">
        <x:v>Large and mobile agents report proportionate eyes with no protrusion.</x:v>
      </x:c>
      <x:c r="I16" s="52" t="str">
        <x:v>Closed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3e83aea919164e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30" hidden="0" customWidth="1"/>
    <x:col min="5" max="5" width="22" hidden="0" customWidth="1"/>
    <x:col min="6" max="6" width="20" hidden="0" customWidth="1"/>
    <x:col min="7" max="7" width="36" hidden="0" customWidth="1"/>
    <x:col min="8" max="8" width="24" hidden="0" customWidth="1"/>
  </x:cols>
  <x:sheetData>
    <x:row r="1" ht="36" customHeight="1">
      <x:c r="A1" s="174" t="str">
        <x:v>Little Birdee - Group 1 account-to-first-plan journey</x:v>
      </x:c>
      <x:c r="B1" s="174" t="str">
        <x:v>Little Birdee - Group 1 account-to-first-plan journey</x:v>
      </x:c>
      <x:c r="C1" s="174" t="str">
        <x:v>Little Birdee - Group 1 account-to-first-plan journey</x:v>
      </x:c>
      <x:c r="D1" s="174" t="str">
        <x:v>Little Birdee - Group 1 account-to-first-plan journey</x:v>
      </x:c>
      <x:c r="E1" s="174" t="str">
        <x:v>Little Birdee - Group 1 account-to-first-plan journey</x:v>
      </x:c>
      <x:c r="F1" s="174" t="str">
        <x:v>Little Birdee - Group 1 account-to-first-plan journey</x:v>
      </x:c>
      <x:c r="G1" s="174" t="str">
        <x:v>Little Birdee - Group 1 account-to-first-plan journey</x:v>
      </x:c>
      <x:c r="H1" s="174" t="str">
        <x:v>Little Birdee - Group 1 account-to-first-plan journey</x:v>
      </x:c>
    </x:row>
    <x:row r="2" ht="36" customHeight="1">
      <x:c r="A2" s="109" t="str">
        <x:v>Little Birdee - Group 1 account-to-first-plan journey</x:v>
      </x:c>
      <x:c r="B2" s="109" t="str">
        <x:v>Little Birdee - Group 1 account-to-first-plan journey</x:v>
      </x:c>
      <x:c r="C2" s="109" t="str">
        <x:v>Little Birdee - Group 1 account-to-first-plan journey</x:v>
      </x:c>
      <x:c r="D2" s="109" t="str">
        <x:v>Little Birdee - Group 1 account-to-first-plan journey</x:v>
      </x:c>
      <x:c r="E2" s="109" t="str">
        <x:v>Little Birdee - Group 1 account-to-first-plan journey</x:v>
      </x:c>
      <x:c r="F2" s="109" t="str">
        <x:v>Little Birdee - Group 1 account-to-first-plan journey</x:v>
      </x:c>
      <x:c r="G2" s="109" t="str">
        <x:v>Little Birdee - Group 1 account-to-first-plan journey</x:v>
      </x:c>
      <x:c r="H2" s="109" t="str">
        <x:v>Little Birdee - Group 1 account-to-first-plan journey</x:v>
      </x:c>
    </x:row>
    <x:row r="3">
      <x:c r="A3" s="5" t="str">
        <x:v>Run date</x:v>
      </x:c>
      <x:c r="B3" s="93" t="str">
        <x:v>29 July 2026</x:v>
      </x:c>
      <x:c r="D3" s="5" t="str">
        <x:v>Account</x:v>
      </x:c>
      <x:c r="E3" s="93" t="str">
        <x:v>ervinpelonio@gmail.com</x:v>
      </x:c>
      <x:c r="G3" s="259" t="str">
        <x:v>Implementation validation</x:v>
      </x:c>
      <x:c r="H3" s="259" t="str">
        <x:v>Implementation validation</x:v>
      </x:c>
    </x:row>
    <x:row r="4">
      <x:c r="A4" s="5" t="str">
        <x:v>Base URL</x:v>
      </x:c>
      <x:c r="B4" s="93" t="str">
        <x:v>http://localhost:3001</x:v>
      </x:c>
      <x:c r="D4" s="5" t="str">
        <x:v>Business / venue</x:v>
      </x:c>
      <x:c r="E4" s="93" t="str">
        <x:v>North Star Café / Surry Hills</x:v>
      </x:c>
      <x:c r="G4" s="5" t="str">
        <x:v>Vitest</x:v>
      </x:c>
      <x:c r="H4" s="6" t="str">
        <x:v>72/72 PASS</x:v>
      </x:c>
    </x:row>
    <x:row r="5">
      <x:c r="A5" s="5" t="str">
        <x:v>Execution</x:v>
      </x:c>
      <x:c r="B5" s="93" t="str">
        <x:v>Root-controlled fix and authenticated Chrome retest</x:v>
      </x:c>
      <x:c r="D5" s="5" t="str">
        <x:v>Stored plan</x:v>
      </x:c>
      <x:c r="E5" s="93" t="str">
        <x:v>Dataset A; one locked plan; seven day rows</x:v>
      </x:c>
      <x:c r="G5" s="5" t="str">
        <x:v>TypeScript</x:v>
      </x:c>
      <x:c r="H5" s="6" t="str">
        <x:v>PASS</x:v>
      </x:c>
    </x:row>
    <x:row r="6">
      <x:c r="A6" s="5" t="str">
        <x:v>Stop rule</x:v>
      </x:c>
      <x:c r="B6" s="93" t="str">
        <x:v>Stop only if a new major blocker appears</x:v>
      </x:c>
      <x:c r="D6" s="5" t="str">
        <x:v>Outcome</x:v>
      </x:c>
      <x:c r="E6" s="93" t="str">
        <x:v>S-03 through S-12 pass after the completed retest</x:v>
      </x:c>
      <x:c r="G6" s="5" t="str">
        <x:v>Production build</x:v>
      </x:c>
      <x:c r="H6" s="6" t="str">
        <x:v>PASS</x:v>
      </x:c>
    </x:row>
    <x:row r="7">
      <x:c r="G7" s="5" t="str">
        <x:v>Local server</x:v>
      </x:c>
      <x:c r="H7" s="6" t="str">
        <x:v>Restored on :3001</x:v>
      </x:c>
    </x:row>
    <x:row r="8">
      <x:c r="A8" s="111" t="str">
        <x:v>Journey results</x:v>
      </x:c>
      <x:c r="B8" s="111" t="str">
        <x:v>Journey results</x:v>
      </x:c>
      <x:c r="D8" s="111" t="str">
        <x:v>Persistence reconciliation</x:v>
      </x:c>
      <x:c r="E8" s="111" t="str">
        <x:v>Persistence reconciliation</x:v>
      </x:c>
      <x:c r="G8" s="111" t="str">
        <x:v>Run decision</x:v>
      </x:c>
      <x:c r="H8" s="111" t="str">
        <x:v>Run decision</x:v>
      </x:c>
    </x:row>
    <x:row r="9">
      <x:c r="A9" s="114" t="str">
        <x:v>PASS</x:v>
      </x:c>
      <x:c r="B9" s="11" t="n">
        <x:f>COUNTIF('Journey Results'!$F$6:$F$15,"PASS")</x:f>
        <x:v>10</x:v>
      </x:c>
      <x:c r="D9" s="10" t="str">
        <x:v>Tenant duplicates</x:v>
      </x:c>
      <x:c r="E9" s="11" t="str">
        <x:v>0</x:v>
      </x:c>
      <x:c r="G9" s="253" t="str">
        <x:f>IF(B10&gt;0,"STOP - PRODUCT FAILURE REMAINS",IF(B11&gt;0,"BLOCKERS REMAIN","ALL CURRENT JOURNEY TESTS PASS"))</x:f>
        <x:v>ALL CURRENT JOURNEY TESTS PASS</x:v>
      </x:c>
      <x:c r="H9" s="254"/>
    </x:row>
    <x:row r="10">
      <x:c r="A10" s="117" t="str">
        <x:v>FAIL</x:v>
      </x:c>
      <x:c r="B10" s="11" t="n">
        <x:f>COUNTIF('Journey Results'!$F$6:$F$15,"FAIL")</x:f>
        <x:v>0</x:v>
      </x:c>
      <x:c r="D10" s="10" t="str">
        <x:v>Locked plans</x:v>
      </x:c>
      <x:c r="E10" s="11" t="str">
        <x:v>1</x:v>
      </x:c>
      <x:c r="G10" s="255"/>
      <x:c r="H10" s="256"/>
    </x:row>
    <x:row r="11">
      <x:c r="A11" s="120" t="str">
        <x:v>BLOCKED</x:v>
      </x:c>
      <x:c r="B11" s="11" t="n">
        <x:f>COUNTIF('Journey Results'!$F$6:$F$15,"BLOCKED")</x:f>
        <x:v>0</x:v>
      </x:c>
      <x:c r="D11" s="10" t="str">
        <x:v>Plan-day rows</x:v>
      </x:c>
      <x:c r="E11" s="11" t="str">
        <x:v>7</x:v>
      </x:c>
      <x:c r="G11" s="255"/>
      <x:c r="H11" s="256"/>
    </x:row>
    <x:row r="12">
      <x:c r="A12" s="10" t="str">
        <x:v>TOTAL</x:v>
      </x:c>
      <x:c r="B12" s="11" t="n">
        <x:f>COUNTA('Journey Results'!$A$6:$A$15)</x:f>
        <x:v>10</x:v>
      </x:c>
      <x:c r="D12" s="10" t="str">
        <x:v>Stored forecast</x:v>
      </x:c>
      <x:c r="E12" s="11" t="str">
        <x:v>+$3,500</x:v>
      </x:c>
      <x:c r="G12" s="257"/>
      <x:c r="H12" s="258"/>
    </x:row>
    <x:row r="15">
      <x:c r="A15" s="141" t="str">
        <x:v>Priority order after this run</x:v>
      </x:c>
      <x:c r="B15" s="141" t="str">
        <x:v>Priority order after this run</x:v>
      </x:c>
      <x:c r="C15" s="141" t="str">
        <x:v>Priority order after this run</x:v>
      </x:c>
      <x:c r="D15" s="141" t="str">
        <x:v>Priority order after this run</x:v>
      </x:c>
      <x:c r="E15" s="141" t="str">
        <x:v>Priority order after this run</x:v>
      </x:c>
      <x:c r="F15" s="141" t="str">
        <x:v>Priority order after this run</x:v>
      </x:c>
      <x:c r="G15" s="141" t="str">
        <x:v>Priority order after this run</x:v>
      </x:c>
      <x:c r="H15" s="141" t="str">
        <x:v>Priority order after this run</x:v>
      </x:c>
    </x:row>
    <x:row r="16" ht="32" customHeight="1">
      <x:c r="A16" s="144" t="str">
        <x:v>Priority</x:v>
      </x:c>
      <x:c r="B16" s="144" t="str">
        <x:v>Area</x:v>
      </x:c>
      <x:c r="C16" s="144" t="str">
        <x:v>Verified truth</x:v>
      </x:c>
      <x:c r="D16" s="144" t="str">
        <x:v>Resolution</x:v>
      </x:c>
      <x:c r="E16" s="144" t="str">
        <x:v>State</x:v>
      </x:c>
      <x:c r="F16" s="144" t="str">
        <x:v>Owner</x:v>
      </x:c>
      <x:c r="G16" s="144" t="str">
        <x:v>Next action</x:v>
      </x:c>
      <x:c r="H16" s="144" t="str">
        <x:v>Retest gate</x:v>
      </x:c>
    </x:row>
    <x:row r="17" ht="58" customHeight="1">
      <x:c r="A17" s="53" t="str">
        <x:v>P0</x:v>
      </x:c>
      <x:c r="B17" s="52" t="str">
        <x:v>Saved-plan hero</x:v>
      </x:c>
      <x:c r="C17" s="52" t="str">
        <x:v>Dataset A remains stored once and derives +$3,500.</x:v>
      </x:c>
      <x:c r="D17" s="52" t="str">
        <x:v>Hero now selects projectedNet and visibly shows +$3,500.</x:v>
      </x:c>
      <x:c r="E17" s="52" t="str">
        <x:v>Resolved</x:v>
      </x:c>
      <x:c r="F17" s="52" t="str">
        <x:v>Frontend/product</x:v>
      </x:c>
      <x:c r="G17" s="52" t="str">
        <x:v>Retain the new regression test.</x:v>
      </x:c>
      <x:c r="H17" s="52" t="str">
        <x:v>S-09 PASS</x:v>
      </x:c>
    </x:row>
    <x:row r="18" ht="58" customHeight="1">
      <x:c r="A18" s="53" t="str">
        <x:v>P1</x:v>
      </x:c>
      <x:c r="B18" s="52" t="str">
        <x:v>Period alignment</x:v>
      </x:c>
      <x:c r="C18" s="52" t="str">
        <x:v>Plan week starts 27 July 2026.</x:v>
      </x:c>
      <x:c r="D18" s="52" t="str">
        <x:v>Venue-state week_start now drives Mon 27 Jul to Sun 2 Aug.</x:v>
      </x:c>
      <x:c r="E18" s="52" t="str">
        <x:v>Resolved</x:v>
      </x:c>
      <x:c r="F18" s="52" t="str">
        <x:v>Frontend</x:v>
      </x:c>
      <x:c r="G18" s="52" t="str">
        <x:v>Keep adjacent period labels derived from the plan week.</x:v>
      </x:c>
      <x:c r="H18" s="52" t="str">
        <x:v>S-09 PASS</x:v>
      </x:c>
    </x:row>
    <x:row r="19" ht="58" customHeight="1">
      <x:c r="A19" s="53" t="str">
        <x:v>P0</x:v>
      </x:c>
      <x:c r="B19" s="52" t="str">
        <x:v>Return journey</x:v>
      </x:c>
      <x:c r="C19" s="52" t="str">
        <x:v>Account and tenant state remain healthy.</x:v>
      </x:c>
      <x:c r="D19" s="52" t="str">
        <x:v>Logout, route protection, and returning login all pass.</x:v>
      </x:c>
      <x:c r="E19" s="52" t="str">
        <x:v>Resolved</x:v>
      </x:c>
      <x:c r="F19" s="52" t="str">
        <x:v>QA</x:v>
      </x:c>
      <x:c r="G19" s="52" t="str">
        <x:v>Retain the confirmed test account for regression.</x:v>
      </x:c>
      <x:c r="H19" s="52" t="str">
        <x:v>S-12 PASS</x:v>
      </x:c>
    </x:row>
    <x:row r="20" ht="58" customHeight="1">
      <x:c r="A20" s="53" t="str">
        <x:v>P0</x:v>
      </x:c>
      <x:c r="B20" s="52" t="str">
        <x:v>Unconfirmed login</x:v>
      </x:c>
      <x:c r="C20" s="52" t="str">
        <x:v>A fresh unconfirmed identity was available.</x:v>
      </x:c>
      <x:c r="D20" s="52" t="str">
        <x:v>Login showed Email not confirmed and /onboarding returned to login before confirmation.</x:v>
      </x:c>
      <x:c r="E20" s="52" t="str">
        <x:v>Resolved</x:v>
      </x:c>
      <x:c r="F20" s="52" t="str">
        <x:v>QA/Auth</x:v>
      </x:c>
      <x:c r="G20" s="52" t="str">
        <x:v>Retain this browser evidence for the confirmation gate.</x:v>
      </x:c>
      <x:c r="H20" s="52" t="str">
        <x:v>S-04 PASS</x:v>
      </x:c>
    </x:row>
    <x:row r="23">
      <x:c r="A23" s="165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B23" s="166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C23" s="166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D23" s="166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E23" s="166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F23" s="166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G23" s="166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H23" s="167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</x:row>
    <x:row r="24">
      <x:c r="A24" s="168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B24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C24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D24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E24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F24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G24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H24" s="170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</x:row>
    <x:row r="25">
      <x:c r="A25" s="168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B25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C25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D25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E25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F25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G25" s="169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H25" s="170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</x:row>
    <x:row r="26">
      <x:c r="A26" s="171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B26" s="172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C26" s="172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D26" s="172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E26" s="172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F26" s="172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G26" s="172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  <x:c r="H26" s="173" t="str">
        <x:v>Retest conclusion: all ten current journey cases pass with zero failures and zero blockers. A fresh account showed a disabled submit state, Check your email, rejection before confirmation, protected-route redirection, a successful /auth/callback return to /onboarding, and exactly one profile, membership, business, venue and venue-settings row. The corrected dashboard still shows +$3,500 and Mon 27 Jul to Sun 2 Aug from the saved plan.</x:v>
      </x:c>
    </x:row>
  </x:sheetData>
  <x:mergeCells>
    <x:mergeCell ref="A1:H2"/>
    <x:mergeCell ref="A8:B8"/>
    <x:mergeCell ref="D8:E8"/>
    <x:mergeCell ref="G8:H8"/>
    <x:mergeCell ref="G9:H12"/>
    <x:mergeCell ref="A15:H15"/>
    <x:mergeCell ref="A23:H26"/>
    <x:mergeCell ref="G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22" hidden="0" customWidth="1"/>
    <x:col min="5" max="5" width="10" hidden="0" customWidth="1"/>
    <x:col min="6" max="6" width="12" hidden="0" customWidth="1"/>
    <x:col min="7" max="7" width="22" hidden="0" customWidth="1"/>
    <x:col min="8" max="8" width="24" hidden="0" customWidth="1"/>
    <x:col min="9" max="9" width="34" hidden="0" customWidth="1"/>
    <x:col min="10" max="10" width="46" hidden="0" customWidth="1"/>
    <x:col min="11" max="11" width="46" hidden="0" customWidth="1"/>
    <x:col min="12" max="12" width="40" hidden="0" customWidth="1"/>
    <x:col min="13" max="13" width="34" hidden="0" customWidth="1"/>
    <x:col min="14" max="14" width="16" hidden="0" customWidth="1"/>
    <x:col min="15" max="15" width="22" hidden="0" customWidth="1"/>
    <x:col min="16" max="16" width="16" hidden="0" customWidth="1"/>
    <x:col min="17" max="17" width="34" hidden="0" customWidth="1"/>
    <x:col min="18" max="18" width="46" hidden="0" customWidth="1"/>
  </x:cols>
  <x:sheetData>
    <x:row r="1" ht="36" customHeight="1">
      <x:c r="A1" s="109" t="str">
        <x:v>Detailed account-to-first-plan results</x:v>
      </x:c>
      <x:c r="B1" s="109" t="str">
        <x:v>Detailed account-to-first-plan results</x:v>
      </x:c>
      <x:c r="C1" s="109" t="str">
        <x:v>Detailed account-to-first-plan results</x:v>
      </x:c>
      <x:c r="D1" s="109" t="str">
        <x:v>Detailed account-to-first-plan results</x:v>
      </x:c>
      <x:c r="E1" s="109" t="str">
        <x:v>Detailed account-to-first-plan results</x:v>
      </x:c>
      <x:c r="F1" s="109" t="str">
        <x:v>Detailed account-to-first-plan results</x:v>
      </x:c>
      <x:c r="G1" s="109" t="str">
        <x:v>Detailed account-to-first-plan results</x:v>
      </x:c>
      <x:c r="H1" s="109" t="str">
        <x:v>Detailed account-to-first-plan results</x:v>
      </x:c>
      <x:c r="I1" s="109" t="str">
        <x:v>Detailed account-to-first-plan results</x:v>
      </x:c>
      <x:c r="J1" s="109" t="str">
        <x:v>Detailed account-to-first-plan results</x:v>
      </x:c>
      <x:c r="K1" s="109" t="str">
        <x:v>Detailed account-to-first-plan results</x:v>
      </x:c>
      <x:c r="L1" s="109" t="str">
        <x:v>Detailed account-to-first-plan results</x:v>
      </x:c>
      <x:c r="M1" s="109" t="str">
        <x:v>Detailed account-to-first-plan results</x:v>
      </x:c>
      <x:c r="N1" s="109" t="str">
        <x:v>Detailed account-to-first-plan results</x:v>
      </x:c>
      <x:c r="O1" s="109" t="str">
        <x:v>Detailed account-to-first-plan results</x:v>
      </x:c>
      <x:c r="P1" s="109" t="str">
        <x:v>Detailed account-to-first-plan results</x:v>
      </x:c>
      <x:c r="Q1" s="109" t="str">
        <x:v>Detailed account-to-first-plan results</x:v>
      </x:c>
      <x:c r="R1" s="109" t="str">
        <x:v>Detailed account-to-first-plan results</x:v>
      </x:c>
    </x:row>
    <x:row r="2" ht="36" customHeight="1">
      <x:c r="A2" s="109" t="str">
        <x:v>Detailed account-to-first-plan results</x:v>
      </x:c>
      <x:c r="B2" s="109" t="str">
        <x:v>Detailed account-to-first-plan results</x:v>
      </x:c>
      <x:c r="C2" s="109" t="str">
        <x:v>Detailed account-to-first-plan results</x:v>
      </x:c>
      <x:c r="D2" s="109" t="str">
        <x:v>Detailed account-to-first-plan results</x:v>
      </x:c>
      <x:c r="E2" s="109" t="str">
        <x:v>Detailed account-to-first-plan results</x:v>
      </x:c>
      <x:c r="F2" s="109" t="str">
        <x:v>Detailed account-to-first-plan results</x:v>
      </x:c>
      <x:c r="G2" s="109" t="str">
        <x:v>Detailed account-to-first-plan results</x:v>
      </x:c>
      <x:c r="H2" s="109" t="str">
        <x:v>Detailed account-to-first-plan results</x:v>
      </x:c>
      <x:c r="I2" s="109" t="str">
        <x:v>Detailed account-to-first-plan results</x:v>
      </x:c>
      <x:c r="J2" s="109" t="str">
        <x:v>Detailed account-to-first-plan results</x:v>
      </x:c>
      <x:c r="K2" s="109" t="str">
        <x:v>Detailed account-to-first-plan results</x:v>
      </x:c>
      <x:c r="L2" s="109" t="str">
        <x:v>Detailed account-to-first-plan results</x:v>
      </x:c>
      <x:c r="M2" s="109" t="str">
        <x:v>Detailed account-to-first-plan results</x:v>
      </x:c>
      <x:c r="N2" s="109" t="str">
        <x:v>Detailed account-to-first-plan results</x:v>
      </x:c>
      <x:c r="O2" s="109" t="str">
        <x:v>Detailed account-to-first-plan results</x:v>
      </x:c>
      <x:c r="P2" s="109" t="str">
        <x:v>Detailed account-to-first-plan results</x:v>
      </x:c>
      <x:c r="Q2" s="109" t="str">
        <x:v>Detailed account-to-first-plan results</x:v>
      </x:c>
      <x:c r="R2" s="109" t="str">
        <x:v>Detailed account-to-first-plan results</x:v>
      </x:c>
    </x:row>
    <x:row r="3">
      <x:c r="A3" s="176" t="str">
        <x:v>PASS/FAIL/BLOCKED reflect the complete test case. The fresh pelonio.ervinnino@gmail.com journey now supplies direct S-03 to S-06 evidence; all current journey cases pass.</x:v>
      </x:c>
      <x:c r="B3" s="176" t="str">
        <x:v>PASS/FAIL/BLOCKED reflect the complete test case. The fresh pelonio.ervinnino@gmail.com journey now supplies direct S-03 to S-06 evidence; all current journey cases pass.</x:v>
      </x:c>
      <x:c r="C3" s="176" t="str">
        <x:v>PASS/FAIL/BLOCKED reflect the complete test case. The fresh pelonio.ervinnino@gmail.com journey now supplies direct S-03 to S-06 evidence; all current journey cases pass.</x:v>
      </x:c>
      <x:c r="D3" s="176" t="str">
        <x:v>PASS/FAIL/BLOCKED reflect the complete test case. The fresh pelonio.ervinnino@gmail.com journey now supplies direct S-03 to S-06 evidence; all current journey cases pass.</x:v>
      </x:c>
      <x:c r="E3" s="176" t="str">
        <x:v>PASS/FAIL/BLOCKED reflect the complete test case. The fresh pelonio.ervinnino@gmail.com journey now supplies direct S-03 to S-06 evidence; all current journey cases pass.</x:v>
      </x:c>
      <x:c r="F3" s="176" t="str">
        <x:v>PASS/FAIL/BLOCKED reflect the complete test case. The fresh pelonio.ervinnino@gmail.com journey now supplies direct S-03 to S-06 evidence; all current journey cases pass.</x:v>
      </x:c>
      <x:c r="G3" s="176" t="str">
        <x:v>PASS/FAIL/BLOCKED reflect the complete test case. The fresh pelonio.ervinnino@gmail.com journey now supplies direct S-03 to S-06 evidence; all current journey cases pass.</x:v>
      </x:c>
      <x:c r="H3" s="176" t="str">
        <x:v>PASS/FAIL/BLOCKED reflect the complete test case. The fresh pelonio.ervinnino@gmail.com journey now supplies direct S-03 to S-06 evidence; all current journey cases pass.</x:v>
      </x:c>
      <x:c r="I3" s="176" t="str">
        <x:v>PASS/FAIL/BLOCKED reflect the complete test case. The fresh pelonio.ervinnino@gmail.com journey now supplies direct S-03 to S-06 evidence; all current journey cases pass.</x:v>
      </x:c>
      <x:c r="J3" s="176" t="str">
        <x:v>PASS/FAIL/BLOCKED reflect the complete test case. The fresh pelonio.ervinnino@gmail.com journey now supplies direct S-03 to S-06 evidence; all current journey cases pass.</x:v>
      </x:c>
      <x:c r="K3" s="176" t="str">
        <x:v>PASS/FAIL/BLOCKED reflect the complete test case. The fresh pelonio.ervinnino@gmail.com journey now supplies direct S-03 to S-06 evidence; all current journey cases pass.</x:v>
      </x:c>
      <x:c r="L3" s="176" t="str">
        <x:v>PASS/FAIL/BLOCKED reflect the complete test case. The fresh pelonio.ervinnino@gmail.com journey now supplies direct S-03 to S-06 evidence; all current journey cases pass.</x:v>
      </x:c>
      <x:c r="M3" s="176" t="str">
        <x:v>PASS/FAIL/BLOCKED reflect the complete test case. The fresh pelonio.ervinnino@gmail.com journey now supplies direct S-03 to S-06 evidence; all current journey cases pass.</x:v>
      </x:c>
      <x:c r="N3" s="176" t="str">
        <x:v>PASS/FAIL/BLOCKED reflect the complete test case. The fresh pelonio.ervinnino@gmail.com journey now supplies direct S-03 to S-06 evidence; all current journey cases pass.</x:v>
      </x:c>
      <x:c r="O3" s="176" t="str">
        <x:v>PASS/FAIL/BLOCKED reflect the complete test case. The fresh pelonio.ervinnino@gmail.com journey now supplies direct S-03 to S-06 evidence; all current journey cases pass.</x:v>
      </x:c>
      <x:c r="P3" s="176" t="str">
        <x:v>PASS/FAIL/BLOCKED reflect the complete test case. The fresh pelonio.ervinnino@gmail.com journey now supplies direct S-03 to S-06 evidence; all current journey cases pass.</x:v>
      </x:c>
      <x:c r="Q3" s="176" t="str">
        <x:v>PASS/FAIL/BLOCKED reflect the complete test case. The fresh pelonio.ervinnino@gmail.com journey now supplies direct S-03 to S-06 evidence; all current journey cases pass.</x:v>
      </x:c>
      <x:c r="R3" s="176" t="str">
        <x:v>PASS/FAIL/BLOCKED reflect the complete test case. The fresh pelonio.ervinnino@gmail.com journey now supplies direct S-03 to S-06 evidence; all current journey cases pass.</x:v>
      </x:c>
    </x:row>
    <x:row r="5" ht="32" customHeight="1">
      <x:c r="A5" s="144" t="str">
        <x:v>Run ID</x:v>
      </x:c>
      <x:c r="B5" s="144" t="str">
        <x:v>Agent</x:v>
      </x:c>
      <x:c r="C5" s="144" t="str">
        <x:v>Test ID</x:v>
      </x:c>
      <x:c r="D5" s="144" t="str">
        <x:v>Area</x:v>
      </x:c>
      <x:c r="E5" s="144" t="str">
        <x:v>Priority</x:v>
      </x:c>
      <x:c r="F5" s="144" t="str">
        <x:v>Result</x:v>
      </x:c>
      <x:c r="G5" s="144" t="str">
        <x:v>Device</x:v>
      </x:c>
      <x:c r="H5" s="144" t="str">
        <x:v>Viewport</x:v>
      </x:c>
      <x:c r="I5" s="144" t="str">
        <x:v>URL / Surface</x:v>
      </x:c>
      <x:c r="J5" s="144" t="str">
        <x:v>Expected</x:v>
      </x:c>
      <x:c r="K5" s="144" t="str">
        <x:v>Actual</x:v>
      </x:c>
      <x:c r="L5" s="144" t="str">
        <x:v>Evidence</x:v>
      </x:c>
      <x:c r="M5" s="144" t="str">
        <x:v>Console / Network</x:v>
      </x:c>
      <x:c r="N5" s="144" t="str">
        <x:v>Refresh Repro</x:v>
      </x:c>
      <x:c r="O5" s="144" t="str">
        <x:v>Prerequisite</x:v>
      </x:c>
      <x:c r="P5" s="144" t="str">
        <x:v>Major Blocker</x:v>
      </x:c>
      <x:c r="Q5" s="144" t="str">
        <x:v>Account / Record</x:v>
      </x:c>
      <x:c r="R5" s="144" t="str">
        <x:v>Notes</x:v>
      </x:c>
    </x:row>
    <x:row r="6" ht="82" customHeight="1">
      <x:c r="A6" s="52" t="str">
        <x:v>JOURNEY-001</x:v>
      </x:c>
      <x:c r="B6" s="52" t="str">
        <x:v>journey_bootstrap_audit</x:v>
      </x:c>
      <x:c r="C6" s="52" t="str">
        <x:v>S-03</x:v>
      </x:c>
      <x:c r="D6" s="52" t="str">
        <x:v>Account creation</x:v>
      </x:c>
      <x:c r="E6" s="88" t="str">
        <x:v>P0</x:v>
      </x:c>
      <x:c r="F6" s="260" t="str">
        <x:v>PASS</x:v>
      </x:c>
      <x:c r="G6" s="52" t="str">
        <x:v>Chrome + Supabase + Gmail</x:v>
      </x:c>
      <x:c r="H6" s="52" t="str">
        <x:v>Default desktop</x:v>
      </x:c>
      <x:c r="I6" s="52" t="str">
        <x:v>/auth?mode=signup</x:v>
      </x:c>
      <x:c r="J6" s="52" t="str">
        <x:v>One account identity and one confirmation email are created; submit is protected against repeat clicks.</x:v>
      </x:c>
      <x:c r="K6" s="52" t="str">
        <x:v>Create my Little Birdee disabled immediately after submission, Check your email appeared, and one Auth user plus one confirmation email were created.</x:v>
      </x:c>
      <x:c r="L6" s="52" t="str">
        <x:v>Fresh Chrome DOM, Gmail inbox and read-only auth.users query.</x:v>
      </x:c>
      <x:c r="M6" s="52" t="str">
        <x:v>No localhost application error.</x:v>
      </x:c>
      <x:c r="N6" s="52" t="str">
        <x:v>N/A</x:v>
      </x:c>
      <x:c r="O6" s="52" t="str">
        <x:v>None</x:v>
      </x:c>
      <x:c r="P6" s="89" t="str">
        <x:v>No</x:v>
      </x:c>
      <x:c r="Q6" s="52" t="str">
        <x:v>pelonio.ervinnino@gmail.com</x:v>
      </x:c>
      <x:c r="R6" s="52" t="str">
        <x:v>Fresh test account created once on 29 July 2026.</x:v>
      </x:c>
    </x:row>
    <x:row r="7" ht="82" customHeight="1">
      <x:c r="A7" s="52" t="str">
        <x:v>JOURNEY-001</x:v>
      </x:c>
      <x:c r="B7" s="52" t="str">
        <x:v>journey_bootstrap_audit</x:v>
      </x:c>
      <x:c r="C7" s="52" t="str">
        <x:v>S-04</x:v>
      </x:c>
      <x:c r="D7" s="52" t="str">
        <x:v>Unconfirmed login</x:v>
      </x:c>
      <x:c r="E7" s="88" t="str">
        <x:v>P0</x:v>
      </x:c>
      <x:c r="F7" s="260" t="str">
        <x:v>PASS</x:v>
      </x:c>
      <x:c r="G7" s="52" t="str">
        <x:v>Chrome + Supabase</x:v>
      </x:c>
      <x:c r="H7" s="52" t="str">
        <x:v>Default desktop; separate signed-out tab</x:v>
      </x:c>
      <x:c r="I7" s="52" t="str">
        <x:v>/auth?mode=login and /onboarding</x:v>
      </x:c>
      <x:c r="J7" s="52" t="str">
        <x:v>An unconfirmed account cannot log in or open protected routes.</x:v>
      </x:c>
      <x:c r="K7" s="52" t="str">
        <x:v>Login remained on the login page with Email not confirmed; direct /onboarding returned to /auth?mode=login and exposed no business details.</x:v>
      </x:c>
      <x:c r="L7" s="52" t="str">
        <x:v>Fresh unconfirmed account, visible auth error, protected-route redirect and read-only auth query.</x:v>
      </x:c>
      <x:c r="M7" s="52" t="str">
        <x:v>No localhost application error.</x:v>
      </x:c>
      <x:c r="N7" s="52" t="str">
        <x:v>N/A</x:v>
      </x:c>
      <x:c r="O7" s="52" t="str">
        <x:v>None</x:v>
      </x:c>
      <x:c r="P7" s="89" t="str">
        <x:v>No</x:v>
      </x:c>
      <x:c r="Q7" s="52" t="str">
        <x:v>pelonio.ervinnino@gmail.com</x:v>
      </x:c>
      <x:c r="R7" s="52" t="str">
        <x:v>The previous test-state blocker is resolved.</x:v>
      </x:c>
    </x:row>
    <x:row r="8" ht="82" customHeight="1">
      <x:c r="A8" s="52" t="str">
        <x:v>JOURNEY-001</x:v>
      </x:c>
      <x:c r="B8" s="52" t="str">
        <x:v>journey_bootstrap_audit</x:v>
      </x:c>
      <x:c r="C8" s="52" t="str">
        <x:v>S-05</x:v>
      </x:c>
      <x:c r="D8" s="52" t="str">
        <x:v>Email confirmation</x:v>
      </x:c>
      <x:c r="E8" s="88" t="str">
        <x:v>P0</x:v>
      </x:c>
      <x:c r="F8" s="260" t="str">
        <x:v>PASS</x:v>
      </x:c>
      <x:c r="G8" s="52" t="str">
        <x:v>Chrome + Gmail + Supabase</x:v>
      </x:c>
      <x:c r="H8" s="52" t="str">
        <x:v>Default desktop</x:v>
      </x:c>
      <x:c r="I8" s="52" t="str">
        <x:v>Gmail -&gt; /auth/callback -&gt; /onboarding</x:v>
      </x:c>
      <x:c r="J8" s="52" t="str">
        <x:v>The confirmation link returns through the Little Birdee callback and opens onboarding.</x:v>
      </x:c>
      <x:c r="K8" s="52" t="str">
        <x:v>Supabase Auth email arrived in the requested inbox; its link opened a new Little Birdee tab at /onboarding with Ervin S04 Test prefilled.</x:v>
      </x:c>
      <x:c r="L8" s="52" t="str">
        <x:v>Gmail sender and link, callback destination, onboarding DOM and confirmed auth.users row.</x:v>
      </x:c>
      <x:c r="M8" s="52" t="str">
        <x:v>No localhost application error.</x:v>
      </x:c>
      <x:c r="N8" s="52" t="str">
        <x:v>N/A</x:v>
      </x:c>
      <x:c r="O8" s="52" t="str">
        <x:v>None</x:v>
      </x:c>
      <x:c r="P8" s="89" t="str">
        <x:v>No</x:v>
      </x:c>
      <x:c r="Q8" s="52" t="str">
        <x:v>pelonio.ervinnino@gmail.com</x:v>
      </x:c>
      <x:c r="R8" s="52" t="str">
        <x:v>No blank callback page or unrelated redirect occurred.</x:v>
      </x:c>
    </x:row>
    <x:row r="9" ht="82" customHeight="1">
      <x:c r="A9" s="52" t="str">
        <x:v>JOURNEY-001</x:v>
      </x:c>
      <x:c r="B9" s="52" t="str">
        <x:v>journey_bootstrap_audit</x:v>
      </x:c>
      <x:c r="C9" s="52" t="str">
        <x:v>S-06</x:v>
      </x:c>
      <x:c r="D9" s="52" t="str">
        <x:v>Tenant skeleton</x:v>
      </x:c>
      <x:c r="E9" s="88" t="str">
        <x:v>P0</x:v>
      </x:c>
      <x:c r="F9" s="260" t="str">
        <x:v>PASS</x:v>
      </x:c>
      <x:c r="G9" s="52" t="str">
        <x:v>Supabase + Chrome</x:v>
      </x:c>
      <x:c r="H9" s="52" t="str">
        <x:v>N/A</x:v>
      </x:c>
      <x:c r="I9" s="52" t="str">
        <x:v>Database and /onboarding</x:v>
      </x:c>
      <x:c r="J9" s="52" t="str">
        <x:v>Confirmation creates exactly one tenant skeleton for the new user.</x:v>
      </x:c>
      <x:c r="K9" s="52" t="str">
        <x:v>Read-only SQL returned one profile, one membership, one business, one venue and one venue-settings row; onboarding loaded the matching prefilled name.</x:v>
      </x:c>
      <x:c r="L9" s="52" t="str">
        <x:v>Read-only SQL scoped by Auth user and the live onboarding DOM.</x:v>
      </x:c>
      <x:c r="M9" s="52" t="str">
        <x:v>No duplicate tenant records.</x:v>
      </x:c>
      <x:c r="N9" s="52" t="str">
        <x:v>Yes</x:v>
      </x:c>
      <x:c r="O9" s="52" t="str">
        <x:v>None</x:v>
      </x:c>
      <x:c r="P9" s="89" t="str">
        <x:v>No</x:v>
      </x:c>
      <x:c r="Q9" s="52" t="str">
        <x:v>74c7685c-428e-4734-b1d1-330932297e44</x:v>
      </x:c>
      <x:c r="R9" s="52" t="str">
        <x:v>The account is confirmed and ready for the next onboarding test.</x:v>
      </x:c>
    </x:row>
    <x:row r="10" ht="82" customHeight="1">
      <x:c r="A10" s="52" t="str">
        <x:v>JOURNEY-002</x:v>
      </x:c>
      <x:c r="B10" s="52" t="str">
        <x:v>Root + journey_bootstrap_audit</x:v>
      </x:c>
      <x:c r="C10" s="52" t="str">
        <x:v>S-07</x:v>
      </x:c>
      <x:c r="D10" s="52" t="str">
        <x:v>Business onboarding</x:v>
      </x:c>
      <x:c r="E10" s="88" t="str">
        <x:v>P0</x:v>
      </x:c>
      <x:c r="F10" s="179" t="str">
        <x:v>PASS</x:v>
      </x:c>
      <x:c r="G10" s="52" t="str">
        <x:v>Desktop + Supabase</x:v>
      </x:c>
      <x:c r="H10" s="52" t="str">
        <x:v>Default desktop</x:v>
      </x:c>
      <x:c r="I10" s="52" t="str">
        <x:v>/onboarding</x:v>
      </x:c>
      <x:c r="J10" s="52" t="str">
        <x:v>Required fields gate saving; save shows loading; profile and tenant names persist without duplicates.</x:v>
      </x:c>
      <x:c r="K10" s="52" t="str">
        <x:v>Blank form kept Next disabled; Saving state appeared; route opened /setup?from=onboarding; Alex Test / Café / Restaurant / North Star Café / Surry Hills persisted.</x:v>
      </x:c>
      <x:c r="L10" s="52" t="str">
        <x:v>DOM state, URL, and read-only SQL.</x:v>
      </x:c>
      <x:c r="M10" s="52" t="str">
        <x:v>One stable tenant skeleton remained.</x:v>
      </x:c>
      <x:c r="N10" s="52" t="str">
        <x:v>Yes</x:v>
      </x:c>
      <x:c r="O10" s="52" t="str">
        <x:v>None</x:v>
      </x:c>
      <x:c r="P10" s="89" t="str">
        <x:v>No</x:v>
      </x:c>
      <x:c r="Q10" s="52" t="str">
        <x:v>ervinpelonio@gmail.com</x:v>
      </x:c>
      <x:c r="R10" s="52" t="str">
        <x:v>onboarding_completed_at was populated at 09:07:59Z.</x:v>
      </x:c>
    </x:row>
    <x:row r="11" ht="82" customHeight="1">
      <x:c r="A11" s="52" t="str">
        <x:v>JOURNEY-003</x:v>
      </x:c>
      <x:c r="B11" s="52" t="str">
        <x:v>setup_s08_desktop + setup_s08_responsive + Root</x:v>
      </x:c>
      <x:c r="C11" s="52" t="str">
        <x:v>S-08</x:v>
      </x:c>
      <x:c r="D11" s="52" t="str">
        <x:v>First Setup UI</x:v>
      </x:c>
      <x:c r="E11" s="88" t="str">
        <x:v>P0</x:v>
      </x:c>
      <x:c r="F11" s="179" t="str">
        <x:v>PASS</x:v>
      </x:c>
      <x:c r="G11" s="52" t="str">
        <x:v>Desktop, medium, mobile</x:v>
      </x:c>
      <x:c r="H11" s="52" t="str">
        <x:v>1440x900; 768x900; 390x844</x:v>
      </x:c>
      <x:c r="I11" s="52" t="str">
        <x:v>/setup?from=onboarding</x:v>
      </x:c>
      <x:c r="J11" s="52" t="str">
        <x:v>Revenue is first; four-step progress, Exit, Ask Birdee, no first-step Back, and reachable lower controls.</x:v>
      </x:c>
      <x:c r="K11" s="52" t="str">
        <x:v>All structure and disclosure checks passed. No horizontal overflow. Root supplemental PageDown proved GST controls and Next become fully visible above the dock on medium and mobile.</x:v>
      </x:c>
      <x:c r="L11" s="52" t="str">
        <x:v>DOM, ARIA state, bounding rectangles, and scroll-container metrics.</x:v>
      </x:c>
      <x:c r="M11" s="52" t="str">
        <x:v>No localhost error; extension noise only.</x:v>
      </x:c>
      <x:c r="N11" s="52" t="str">
        <x:v>Yes</x:v>
      </x:c>
      <x:c r="O11" s="52" t="str">
        <x:v>None</x:v>
      </x:c>
      <x:c r="P11" s="89" t="str">
        <x:v>No</x:v>
      </x:c>
      <x:c r="Q11" s="52" t="str">
        <x:v>ervinpelonio@gmail.com</x:v>
      </x:c>
      <x:c r="R11" s="52" t="str">
        <x:v>Responsive agent scroll gesture timed out; root confirmed reachability by keyboard scrolling.</x:v>
      </x:c>
    </x:row>
    <x:row r="12" ht="82" customHeight="1">
      <x:c r="A12" s="52" t="str">
        <x:v>JOURNEY-004</x:v>
      </x:c>
      <x:c r="B12" s="52" t="str">
        <x:v>Root + persistence_s09_s10</x:v>
      </x:c>
      <x:c r="C12" s="52" t="str">
        <x:v>S-09</x:v>
      </x:c>
      <x:c r="D12" s="52" t="str">
        <x:v>First saved weekly plan</x:v>
      </x:c>
      <x:c r="E12" s="88" t="str">
        <x:v>P0</x:v>
      </x:c>
      <x:c r="F12" s="260" t="str">
        <x:v>PASS</x:v>
      </x:c>
      <x:c r="G12" s="52" t="str">
        <x:v>Desktop + Supabase</x:v>
      </x:c>
      <x:c r="H12" s="52" t="str">
        <x:v>Default desktop</x:v>
      </x:c>
      <x:c r="I12" s="52" t="str">
        <x:v>/app?period=this-week</x:v>
      </x:c>
      <x:c r="J12" s="52" t="str">
        <x:v>Dataset A saves once and the dashboard shows approximately +$3,500 estimated EBITDA.</x:v>
      </x:c>
      <x:c r="K12" s="52" t="str">
        <x:v>Fresh retest shows +$3,500 and Mon 27 Jul to Sun 2 Aug; both remain correct after two refreshes.</x:v>
      </x:c>
      <x:c r="L12" s="52" t="str">
        <x:v>Authenticated Chrome DOM, saved Dataset A, focused unit test, and two refreshes.</x:v>
      </x:c>
      <x:c r="M12" s="52" t="str">
        <x:v>No localhost application error; extension warnings only.</x:v>
      </x:c>
      <x:c r="N12" s="52" t="str">
        <x:v>Yes</x:v>
      </x:c>
      <x:c r="O12" s="52" t="str">
        <x:v>None</x:v>
      </x:c>
      <x:c r="P12" s="89" t="str">
        <x:v>No</x:v>
      </x:c>
      <x:c r="Q12" s="52" t="str">
        <x:v>dfdee839-66d8-49b5-91dd-adb42b4736bc</x:v>
      </x:c>
      <x:c r="R12" s="52" t="str">
        <x:v>Initial +$0 failure is retained in Journey Defects as resolved evidence.</x:v>
      </x:c>
    </x:row>
    <x:row r="13" ht="82" customHeight="1">
      <x:c r="A13" s="52" t="str">
        <x:v>JOURNEY-005</x:v>
      </x:c>
      <x:c r="B13" s="52" t="str">
        <x:v>persistence_s09_s10</x:v>
      </x:c>
      <x:c r="C13" s="52" t="str">
        <x:v>S-10</x:v>
      </x:c>
      <x:c r="D13" s="52" t="str">
        <x:v>Plan reload and duplicate guard</x:v>
      </x:c>
      <x:c r="E13" s="88" t="str">
        <x:v>P0</x:v>
      </x:c>
      <x:c r="F13" s="179" t="str">
        <x:v>PASS</x:v>
      </x:c>
      <x:c r="G13" s="52" t="str">
        <x:v>Desktop + Supabase</x:v>
      </x:c>
      <x:c r="H13" s="52" t="str">
        <x:v>Fresh authenticated tab</x:v>
      </x:c>
      <x:c r="I13" s="52" t="str">
        <x:v>/app and /setup</x:v>
      </x:c>
      <x:c r="J13" s="52" t="str">
        <x:v>Two refreshes retain the plan; Setup reloads Dataset A; viewing creates no duplicate.</x:v>
      </x:c>
      <x:c r="K13" s="52" t="str">
        <x:v>Dashboard refreshed twice without onboarding regression. Setup reloaded saved values after a brief loading delay. Plan count remained one.</x:v>
      </x:c>
      <x:c r="L13" s="52" t="str">
        <x:v>DOM and read-only SQL counts.</x:v>
      </x:c>
      <x:c r="M13" s="52" t="str">
        <x:v>No duplicate plans.</x:v>
      </x:c>
      <x:c r="N13" s="52" t="str">
        <x:v>Yes</x:v>
      </x:c>
      <x:c r="O13" s="52" t="str">
        <x:v>None</x:v>
      </x:c>
      <x:c r="P13" s="89" t="str">
        <x:v>No</x:v>
      </x:c>
      <x:c r="Q13" s="52" t="str">
        <x:v>dfdee839-66d8-49b5-91dd-adb42b4736bc</x:v>
      </x:c>
      <x:c r="R13" s="52" t="str">
        <x:v>The persisted plan is healthy even though the hero selects the wrong profit measure.</x:v>
      </x:c>
    </x:row>
    <x:row r="14" ht="82" customHeight="1">
      <x:c r="A14" s="52" t="str">
        <x:v>JOURNEY-006</x:v>
      </x:c>
      <x:c r="B14" s="52" t="str">
        <x:v>account_s11_responsive</x:v>
      </x:c>
      <x:c r="C14" s="52" t="str">
        <x:v>S-11</x:v>
      </x:c>
      <x:c r="D14" s="52" t="str">
        <x:v>Account page</x:v>
      </x:c>
      <x:c r="E14" s="88" t="str">
        <x:v>P0</x:v>
      </x:c>
      <x:c r="F14" s="179" t="str">
        <x:v>PASS</x:v>
      </x:c>
      <x:c r="G14" s="52" t="str">
        <x:v>Desktop, medium, mobile</x:v>
      </x:c>
      <x:c r="H14" s="52" t="str">
        <x:v>1440x900; 768x900; 390x844</x:v>
      </x:c>
      <x:c r="I14" s="52" t="str">
        <x:v>/account</x:v>
      </x:c>
      <x:c r="J14" s="52" t="str">
        <x:v>Account page identifies Alex Test, North Star Café, Surry Hills, Current, owner, Add venue, and Log out.</x:v>
      </x:c>
      <x:c r="K14" s="52" t="str">
        <x:v>All expected identity and venue details passed at all three viewports with no clipping or horizontal overflow.</x:v>
      </x:c>
      <x:c r="L14" s="52" t="str">
        <x:v>Fresh-tab DOM and responsive measurements.</x:v>
      </x:c>
      <x:c r="M14" s="52" t="str">
        <x:v>No application defect.</x:v>
      </x:c>
      <x:c r="N14" s="52" t="str">
        <x:v>Yes</x:v>
      </x:c>
      <x:c r="O14" s="52" t="str">
        <x:v>None</x:v>
      </x:c>
      <x:c r="P14" s="89" t="str">
        <x:v>No</x:v>
      </x:c>
      <x:c r="Q14" s="52" t="str">
        <x:v>ervinpelonio@gmail.com</x:v>
      </x:c>
      <x:c r="R14" s="52" t="str">
        <x:v>No venue or session mutation occurred.</x:v>
      </x:c>
    </x:row>
    <x:row r="15" ht="82" customHeight="1">
      <x:c r="A15" s="52" t="str">
        <x:v>JOURNEY-007</x:v>
      </x:c>
      <x:c r="B15" s="52" t="str">
        <x:v>Root</x:v>
      </x:c>
      <x:c r="C15" s="52" t="str">
        <x:v>S-12</x:v>
      </x:c>
      <x:c r="D15" s="52" t="str">
        <x:v>Logout and returning login</x:v>
      </x:c>
      <x:c r="E15" s="88" t="str">
        <x:v>P0</x:v>
      </x:c>
      <x:c r="F15" s="260" t="str">
        <x:v>PASS</x:v>
      </x:c>
      <x:c r="G15" s="52" t="str">
        <x:v>Desktop</x:v>
      </x:c>
      <x:c r="H15" s="52" t="str">
        <x:v>Default desktop</x:v>
      </x:c>
      <x:c r="I15" s="52" t="str">
        <x:v>/account -&gt; /auth -&gt; /app</x:v>
      </x:c>
      <x:c r="J15" s="52" t="str">
        <x:v>Logout protects routes; returning login retains Surry Hills and Dataset A.</x:v>
      </x:c>
      <x:c r="K15" s="52" t="str">
        <x:v>Logout opened login; direct /app returned to login; correct credentials returned to /app with +$3,500, the saved week, Surry Hills and North Star Café intact.</x:v>
      </x:c>
      <x:c r="L15" s="52" t="str">
        <x:v>Fresh authenticated Chrome session, protected-route URL, returning dashboard, and Account identity.</x:v>
      </x:c>
      <x:c r="M15" s="52" t="str">
        <x:v>No localhost application error.</x:v>
      </x:c>
      <x:c r="N15" s="52" t="str">
        <x:v>Yes</x:v>
      </x:c>
      <x:c r="O15" s="52" t="str">
        <x:v>None</x:v>
      </x:c>
      <x:c r="P15" s="89" t="str">
        <x:v>No</x:v>
      </x:c>
      <x:c r="Q15" s="52" t="str">
        <x:v>ervinpelonio@gmail.com</x:v>
      </x:c>
      <x:c r="R15" s="52" t="str">
        <x:v>The previously blocked returning-user journey is complete.</x:v>
      </x:c>
    </x:row>
  </x:sheetData>
  <x:mergeCells>
    <x:mergeCell ref="A1:R2"/>
    <x:mergeCell ref="A3:R3"/>
  </x:mergeCells>
  <x:pageMargins left="0.7" right="0.7" top="0.75" bottom="0.75" header="0.3" footer="0.3"/>
  <x:tableParts count="1">
    <x:tablePart xmlns:r="http://schemas.openxmlformats.org/officeDocument/2006/relationships" r:id="R3c7dbdc9b02e4e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20" hidden="0" customWidth="1"/>
    <x:col min="5" max="5" width="24" hidden="0" customWidth="1"/>
    <x:col min="6" max="6" width="50" hidden="0" customWidth="1"/>
    <x:col min="7" max="7" width="52" hidden="0" customWidth="1"/>
    <x:col min="8" max="8" width="48" hidden="0" customWidth="1"/>
    <x:col min="9" max="9" width="28" hidden="0" customWidth="1"/>
  </x:cols>
  <x:sheetData>
    <x:row r="1" ht="36" customHeight="1">
      <x:c r="A1" s="109" t="str">
        <x:v>Resolved journey findings and infrastructure notes</x:v>
      </x:c>
      <x:c r="B1" s="109" t="str">
        <x:v>Resolved journey findings and infrastructure notes</x:v>
      </x:c>
      <x:c r="C1" s="109" t="str">
        <x:v>Resolved journey findings and infrastructure notes</x:v>
      </x:c>
      <x:c r="D1" s="109" t="str">
        <x:v>Resolved journey findings and infrastructure notes</x:v>
      </x:c>
      <x:c r="E1" s="109" t="str">
        <x:v>Resolved journey findings and infrastructure notes</x:v>
      </x:c>
      <x:c r="F1" s="109" t="str">
        <x:v>Resolved journey findings and infrastructure notes</x:v>
      </x:c>
      <x:c r="G1" s="109" t="str">
        <x:v>Resolved journey findings and infrastructure notes</x:v>
      </x:c>
      <x:c r="H1" s="109" t="str">
        <x:v>Resolved journey findings and infrastructure notes</x:v>
      </x:c>
      <x:c r="I1" s="109" t="str">
        <x:v>Resolved journey findings and infrastructure notes</x:v>
      </x:c>
    </x:row>
    <x:row r="2" ht="36" customHeight="1">
      <x:c r="A2" s="109" t="str">
        <x:v>Resolved journey findings and infrastructure notes</x:v>
      </x:c>
      <x:c r="B2" s="109" t="str">
        <x:v>Resolved journey findings and infrastructure notes</x:v>
      </x:c>
      <x:c r="C2" s="109" t="str">
        <x:v>Resolved journey findings and infrastructure notes</x:v>
      </x:c>
      <x:c r="D2" s="109" t="str">
        <x:v>Resolved journey findings and infrastructure notes</x:v>
      </x:c>
      <x:c r="E2" s="109" t="str">
        <x:v>Resolved journey findings and infrastructure notes</x:v>
      </x:c>
      <x:c r="F2" s="109" t="str">
        <x:v>Resolved journey findings and infrastructure notes</x:v>
      </x:c>
      <x:c r="G2" s="109" t="str">
        <x:v>Resolved journey findings and infrastructure notes</x:v>
      </x:c>
      <x:c r="H2" s="109" t="str">
        <x:v>Resolved journey findings and infrastructure notes</x:v>
      </x:c>
      <x:c r="I2" s="109" t="str">
        <x:v>Resolved journey findings and infrastructure notes</x:v>
      </x:c>
    </x:row>
    <x:row r="3">
      <x:c r="A3" s="176" t="str">
        <x:v>JRN-001 and JRN-002 are closed by the fresh S-09 browser retest and focused regressions. JRN-003 remains a QA-infrastructure note, not a product defect.</x:v>
      </x:c>
      <x:c r="B3" s="176" t="str">
        <x:v>JRN-001 and JRN-002 are closed by the fresh S-09 browser retest and focused regressions. JRN-003 remains a QA-infrastructure note, not a product defect.</x:v>
      </x:c>
      <x:c r="C3" s="176" t="str">
        <x:v>JRN-001 and JRN-002 are closed by the fresh S-09 browser retest and focused regressions. JRN-003 remains a QA-infrastructure note, not a product defect.</x:v>
      </x:c>
      <x:c r="D3" s="176" t="str">
        <x:v>JRN-001 and JRN-002 are closed by the fresh S-09 browser retest and focused regressions. JRN-003 remains a QA-infrastructure note, not a product defect.</x:v>
      </x:c>
      <x:c r="E3" s="176" t="str">
        <x:v>JRN-001 and JRN-002 are closed by the fresh S-09 browser retest and focused regressions. JRN-003 remains a QA-infrastructure note, not a product defect.</x:v>
      </x:c>
      <x:c r="F3" s="176" t="str">
        <x:v>JRN-001 and JRN-002 are closed by the fresh S-09 browser retest and focused regressions. JRN-003 remains a QA-infrastructure note, not a product defect.</x:v>
      </x:c>
      <x:c r="G3" s="176" t="str">
        <x:v>JRN-001 and JRN-002 are closed by the fresh S-09 browser retest and focused regressions. JRN-003 remains a QA-infrastructure note, not a product defect.</x:v>
      </x:c>
      <x:c r="H3" s="176" t="str">
        <x:v>JRN-001 and JRN-002 are closed by the fresh S-09 browser retest and focused regressions. JRN-003 remains a QA-infrastructure note, not a product defect.</x:v>
      </x:c>
      <x:c r="I3" s="176" t="str">
        <x:v>JRN-001 and JRN-002 are closed by the fresh S-09 browser retest and focused regressions. JRN-003 remains a QA-infrastructure note, not a product defect.</x:v>
      </x:c>
    </x:row>
    <x:row r="4" ht="32" customHeight="1">
      <x:c r="A4" s="144" t="str">
        <x:v>Defect ID</x:v>
      </x:c>
      <x:c r="B4" s="144" t="str">
        <x:v>Linked Tests</x:v>
      </x:c>
      <x:c r="C4" s="144" t="str">
        <x:v>Priority</x:v>
      </x:c>
      <x:c r="D4" s="144" t="str">
        <x:v>Status</x:v>
      </x:c>
      <x:c r="E4" s="144" t="str">
        <x:v>Category</x:v>
      </x:c>
      <x:c r="F4" s="144" t="str">
        <x:v>Finding</x:v>
      </x:c>
      <x:c r="G4" s="144" t="str">
        <x:v>Evidence / Cause</x:v>
      </x:c>
      <x:c r="H4" s="144" t="str">
        <x:v>Required Action</x:v>
      </x:c>
      <x:c r="I4" s="144" t="str">
        <x:v>Owner / Retest</x:v>
      </x:c>
    </x:row>
    <x:row r="5" ht="98" customHeight="1">
      <x:c r="A5" s="52" t="str">
        <x:v>JRN-001</x:v>
      </x:c>
      <x:c r="B5" s="52" t="str">
        <x:v>S-09</x:v>
      </x:c>
      <x:c r="C5" s="188" t="str">
        <x:v>P0</x:v>
      </x:c>
      <x:c r="D5" s="260" t="str">
        <x:v>Resolved</x:v>
      </x:c>
      <x:c r="E5" s="52" t="str">
        <x:v>Dashboard profit source</x:v>
      </x:c>
      <x:c r="F5" s="52" t="str">
        <x:v>A locked plan forecasts +$3,500, but the this-week hero labelled Your estimated profit shows +$0 when zero actual days are complete.</x:v>
      </x:c>
      <x:c r="G5" s="52" t="str">
        <x:v>app/app/page.tsx now calls the tested periodHeadlineProfit selector; unfinished current weeks use projectedNet.</x:v>
      </x:c>
      <x:c r="H5" s="52" t="str">
        <x:v>Keep the regression that expects +$3,500 when zero actual days are complete.</x:v>
      </x:c>
      <x:c r="I5" s="52" t="str">
        <x:v>Closed by S-09 retest</x:v>
      </x:c>
    </x:row>
    <x:row r="6" ht="98" customHeight="1">
      <x:c r="A6" s="52" t="str">
        <x:v>JRN-002</x:v>
      </x:c>
      <x:c r="B6" s="52" t="str">
        <x:v>S-09</x:v>
      </x:c>
      <x:c r="C6" s="188" t="str">
        <x:v>P1</x:v>
      </x:c>
      <x:c r="D6" s="260" t="str">
        <x:v>Resolved</x:v>
      </x:c>
      <x:c r="E6" s="52" t="str">
        <x:v>Reporting period label</x:v>
      </x:c>
      <x:c r="F6" s="52" t="str">
        <x:v>On 29 July 2026 the post-save this-week dashboard displayed Mon 23 to Sun 29 Jun while the saved plan week_start is 27 July 2026.</x:v>
      </x:c>
      <x:c r="G6" s="52" t="str">
        <x:v>The venue-state API now returns weekly_plans.week_start; buildPeriodView derives current and adjacent labels from it.</x:v>
      </x:c>
      <x:c r="H6" s="52" t="str">
        <x:v>Keep the date-range regression for the 27 July plan week.</x:v>
      </x:c>
      <x:c r="I6" s="52" t="str">
        <x:v>Closed by S-09 retest</x:v>
      </x:c>
    </x:row>
    <x:row r="7" ht="98" customHeight="1">
      <x:c r="A7" s="52" t="str">
        <x:v>JRN-003</x:v>
      </x:c>
      <x:c r="B7" s="52" t="str">
        <x:v>Test infrastructure</x:v>
      </x:c>
      <x:c r="C7" s="188" t="str">
        <x:v>P2</x:v>
      </x:c>
      <x:c r="D7" s="262" t="str">
        <x:v>Reclassified</x:v>
      </x:c>
      <x:c r="E7" s="52" t="str">
        <x:v>Recovery email rate limit</x:v>
      </x:c>
      <x:c r="F7" s="52" t="str">
        <x:v>A second recovery email request returned email rate limit exceeded.</x:v>
      </x:c>
      <x:c r="G7" s="52" t="str">
        <x:v>No production change. The second recovery request was limited by the default SMTP quota.</x:v>
      </x:c>
      <x:c r="H7" s="52" t="str">
        <x:v>Use Auth admin updateUserById or disposable-user cleanup before repeating pre-confirmation tests.</x:v>
      </x:c>
      <x:c r="I7" s="52" t="str">
        <x:v>QA infrastructure only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f47fb1f082b044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30" hidden="0" customWidth="1"/>
    <x:col min="4" max="4" width="12" hidden="0" customWidth="1"/>
    <x:col min="5" max="5" width="28" hidden="0" customWidth="1"/>
    <x:col min="6" max="6" width="58" hidden="0" customWidth="1"/>
  </x:cols>
  <x:sheetData>
    <x:row r="1" ht="36" customHeight="1">
      <x:c r="A1" s="109" t="str">
        <x:v>Supabase persistence evidence</x:v>
      </x:c>
      <x:c r="B1" s="109" t="str">
        <x:v>Supabase persistence evidence</x:v>
      </x:c>
      <x:c r="C1" s="109" t="str">
        <x:v>Supabase persistence evidence</x:v>
      </x:c>
      <x:c r="D1" s="109" t="str">
        <x:v>Supabase persistence evidence</x:v>
      </x:c>
      <x:c r="E1" s="109" t="str">
        <x:v>Supabase persistence evidence</x:v>
      </x:c>
      <x:c r="F1" s="109" t="str">
        <x:v>Supabase persistence evidence</x:v>
      </x:c>
    </x:row>
    <x:row r="2" ht="36" customHeight="1">
      <x:c r="A2" s="109" t="str">
        <x:v>Supabase persistence evidence</x:v>
      </x:c>
      <x:c r="B2" s="109" t="str">
        <x:v>Supabase persistence evidence</x:v>
      </x:c>
      <x:c r="C2" s="109" t="str">
        <x:v>Supabase persistence evidence</x:v>
      </x:c>
      <x:c r="D2" s="109" t="str">
        <x:v>Supabase persistence evidence</x:v>
      </x:c>
      <x:c r="E2" s="109" t="str">
        <x:v>Supabase persistence evidence</x:v>
      </x:c>
      <x:c r="F2" s="109" t="str">
        <x:v>Supabase persistence evidence</x:v>
      </x:c>
    </x:row>
    <x:row r="3">
      <x:c r="A3" s="176" t="str">
        <x:v>Read-only reconciliation after exactly one onboarding save and one weekly-plan save. Monetary database values were stored in cents; rates were stored in basis points.</x:v>
      </x:c>
      <x:c r="B3" s="176" t="str">
        <x:v>Read-only reconciliation after exactly one onboarding save and one weekly-plan save. Monetary database values were stored in cents; rates were stored in basis points.</x:v>
      </x:c>
      <x:c r="C3" s="176" t="str">
        <x:v>Read-only reconciliation after exactly one onboarding save and one weekly-plan save. Monetary database values were stored in cents; rates were stored in basis points.</x:v>
      </x:c>
      <x:c r="D3" s="176" t="str">
        <x:v>Read-only reconciliation after exactly one onboarding save and one weekly-plan save. Monetary database values were stored in cents; rates were stored in basis points.</x:v>
      </x:c>
      <x:c r="E3" s="176" t="str">
        <x:v>Read-only reconciliation after exactly one onboarding save and one weekly-plan save. Monetary database values were stored in cents; rates were stored in basis points.</x:v>
      </x:c>
      <x:c r="F3" s="176" t="str">
        <x:v>Read-only reconciliation after exactly one onboarding save and one weekly-plan save. Monetary database values were stored in cents; rates were stored in basis points.</x:v>
      </x:c>
    </x:row>
    <x:row r="4" ht="32" customHeight="1">
      <x:c r="A4" s="144" t="str">
        <x:v>Evidence item</x:v>
      </x:c>
      <x:c r="B4" s="144" t="str">
        <x:v>Expected</x:v>
      </x:c>
      <x:c r="C4" s="144" t="str">
        <x:v>Observed</x:v>
      </x:c>
      <x:c r="D4" s="144" t="str">
        <x:v>Result</x:v>
      </x:c>
      <x:c r="E4" s="144" t="str">
        <x:v>Source</x:v>
      </x:c>
      <x:c r="F4" s="144" t="str">
        <x:v>Notes</x:v>
      </x:c>
    </x:row>
    <x:row r="5" ht="48" customHeight="1">
      <x:c r="A5" s="52" t="str">
        <x:v>Auth user</x:v>
      </x:c>
      <x:c r="B5" s="52" t="str">
        <x:v>1</x:v>
      </x:c>
      <x:c r="C5" s="52" t="str">
        <x:v>1</x:v>
      </x:c>
      <x:c r="D5" s="179" t="str">
        <x:v>PASS</x:v>
      </x:c>
      <x:c r="E5" s="52" t="str">
        <x:v>auth.users</x:v>
      </x:c>
      <x:c r="F5" s="52" t="str">
        <x:v>Confirmed 2026-07-29 08:50:44Z; id b1e1bdec-e6e4-4b74-8a45-edf4c355811a</x:v>
      </x:c>
    </x:row>
    <x:row r="6" ht="48" customHeight="1">
      <x:c r="A6" s="52" t="str">
        <x:v>Profile</x:v>
      </x:c>
      <x:c r="B6" s="52" t="str">
        <x:v>1</x:v>
      </x:c>
      <x:c r="C6" s="52" t="str">
        <x:v>1</x:v>
      </x:c>
      <x:c r="D6" s="179" t="str">
        <x:v>PASS</x:v>
      </x:c>
      <x:c r="E6" s="52" t="str">
        <x:v>public profile table</x:v>
      </x:c>
      <x:c r="F6" s="52" t="str">
        <x:v>Alex Test; onboarding_completed_at 2026-07-29 09:07:59Z</x:v>
      </x:c>
    </x:row>
    <x:row r="7" ht="48" customHeight="1">
      <x:c r="A7" s="52" t="str">
        <x:v>Owned business</x:v>
      </x:c>
      <x:c r="B7" s="52" t="str">
        <x:v>1</x:v>
      </x:c>
      <x:c r="C7" s="52" t="str">
        <x:v>1</x:v>
      </x:c>
      <x:c r="D7" s="179" t="str">
        <x:v>PASS</x:v>
      </x:c>
      <x:c r="E7" s="52" t="str">
        <x:v>businesses</x:v>
      </x:c>
      <x:c r="F7" s="52" t="str">
        <x:v>North Star Café; stable id aa9ff5d0-21ed-429f-ac47-1830614f82b0</x:v>
      </x:c>
    </x:row>
    <x:row r="8" ht="48" customHeight="1">
      <x:c r="A8" s="52" t="str">
        <x:v>Business membership</x:v>
      </x:c>
      <x:c r="B8" s="52" t="str">
        <x:v>1 owner</x:v>
      </x:c>
      <x:c r="C8" s="52" t="str">
        <x:v>1 owner</x:v>
      </x:c>
      <x:c r="D8" s="179" t="str">
        <x:v>PASS</x:v>
      </x:c>
      <x:c r="E8" s="52" t="str">
        <x:v>business memberships</x:v>
      </x:c>
      <x:c r="F8" s="52" t="str">
        <x:v>No duplicate membership</x:v>
      </x:c>
    </x:row>
    <x:row r="9" ht="48" customHeight="1">
      <x:c r="A9" s="52" t="str">
        <x:v>Venue</x:v>
      </x:c>
      <x:c r="B9" s="52" t="str">
        <x:v>1</x:v>
      </x:c>
      <x:c r="C9" s="52" t="str">
        <x:v>1</x:v>
      </x:c>
      <x:c r="D9" s="179" t="str">
        <x:v>PASS</x:v>
      </x:c>
      <x:c r="E9" s="52" t="str">
        <x:v>venues</x:v>
      </x:c>
      <x:c r="F9" s="52" t="str">
        <x:v>Surry Hills; stable id 743f2c78-3270-4ddc-a028-ef15f86131de</x:v>
      </x:c>
    </x:row>
    <x:row r="10" ht="48" customHeight="1">
      <x:c r="A10" s="52" t="str">
        <x:v>Venue membership</x:v>
      </x:c>
      <x:c r="B10" s="52" t="str">
        <x:v>1</x:v>
      </x:c>
      <x:c r="C10" s="52" t="str">
        <x:v>1</x:v>
      </x:c>
      <x:c r="D10" s="179" t="str">
        <x:v>PASS</x:v>
      </x:c>
      <x:c r="E10" s="52" t="str">
        <x:v>venue memberships</x:v>
      </x:c>
      <x:c r="F10" s="52" t="str">
        <x:v>No duplicate membership</x:v>
      </x:c>
    </x:row>
    <x:row r="11" ht="48" customHeight="1">
      <x:c r="A11" s="52" t="str">
        <x:v>Venue settings</x:v>
      </x:c>
      <x:c r="B11" s="52" t="str">
        <x:v>1</x:v>
      </x:c>
      <x:c r="C11" s="52" t="str">
        <x:v>1</x:v>
      </x:c>
      <x:c r="D11" s="179" t="str">
        <x:v>PASS</x:v>
      </x:c>
      <x:c r="E11" s="52" t="str">
        <x:v>venue settings</x:v>
      </x:c>
      <x:c r="F11" s="52" t="str">
        <x:v>No duplicate settings record</x:v>
      </x:c>
    </x:row>
    <x:row r="12" ht="48" customHeight="1">
      <x:c r="A12" s="52" t="str">
        <x:v>Locked weekly plan</x:v>
      </x:c>
      <x:c r="B12" s="52" t="str">
        <x:v>1</x:v>
      </x:c>
      <x:c r="C12" s="52" t="str">
        <x:v>1</x:v>
      </x:c>
      <x:c r="D12" s="179" t="str">
        <x:v>PASS</x:v>
      </x:c>
      <x:c r="E12" s="52" t="str">
        <x:v>weekly_plans</x:v>
      </x:c>
      <x:c r="F12" s="52" t="str">
        <x:v>dfdee839-66d8-49b5-91dd-adb42b4736bc; week_start 2026-07-27; version 1</x:v>
      </x:c>
    </x:row>
    <x:row r="13" ht="48" customHeight="1">
      <x:c r="A13" s="52" t="str">
        <x:v>Plan-day rows</x:v>
      </x:c>
      <x:c r="B13" s="52" t="str">
        <x:v>7</x:v>
      </x:c>
      <x:c r="C13" s="52" t="str">
        <x:v>7</x:v>
      </x:c>
      <x:c r="D13" s="179" t="str">
        <x:v>PASS</x:v>
      </x:c>
      <x:c r="E13" s="52" t="str">
        <x:v>weekly plan days</x:v>
      </x:c>
      <x:c r="F13" s="52" t="str">
        <x:v>Revenue cents: 100000,100000,100000,100000,200000,300000,200000</x:v>
      </x:c>
    </x:row>
    <x:row r="14" ht="48" customHeight="1">
      <x:c r="A14" s="52" t="str">
        <x:v>Entered weekly revenue</x:v>
      </x:c>
      <x:c r="B14" s="52" t="str">
        <x:v>$11,000</x:v>
      </x:c>
      <x:c r="C14" s="52" t="str">
        <x:v>$11,000</x:v>
      </x:c>
      <x:c r="D14" s="179" t="str">
        <x:v>PASS</x:v>
      </x:c>
      <x:c r="E14" s="52" t="str">
        <x:v>sum of plan-day revenue</x:v>
      </x:c>
      <x:c r="F14" s="52" t="str">
        <x:v>Stored in cents; GST registered-fully-taxable and GST-inclusive</x:v>
      </x:c>
    </x:row>
    <x:row r="15" ht="48" customHeight="1">
      <x:c r="A15" s="52" t="str">
        <x:v>Weekly wages</x:v>
      </x:c>
      <x:c r="B15" s="52" t="str">
        <x:v>$2,000</x:v>
      </x:c>
      <x:c r="C15" s="52" t="str">
        <x:v>$2,000</x:v>
      </x:c>
      <x:c r="D15" s="179" t="str">
        <x:v>PASS</x:v>
      </x:c>
      <x:c r="E15" s="52" t="str">
        <x:v>plan assumptions</x:v>
      </x:c>
      <x:c r="F15" s="52" t="str">
        <x:v>Stored as 200000 cents</x:v>
      </x:c>
    </x:row>
    <x:row r="16" ht="48" customHeight="1">
      <x:c r="A16" s="52" t="str">
        <x:v>COGS rate</x:v>
      </x:c>
      <x:c r="B16" s="52" t="str">
        <x:v>30%</x:v>
      </x:c>
      <x:c r="C16" s="52" t="str">
        <x:v>30%</x:v>
      </x:c>
      <x:c r="D16" s="179" t="str">
        <x:v>PASS</x:v>
      </x:c>
      <x:c r="E16" s="52" t="str">
        <x:v>plan assumptions</x:v>
      </x:c>
      <x:c r="F16" s="52" t="str">
        <x:v>Stored as 3000 basis points</x:v>
      </x:c>
    </x:row>
    <x:row r="17" ht="48" customHeight="1">
      <x:c r="A17" s="52" t="str">
        <x:v>Other weekly costs</x:v>
      </x:c>
      <x:c r="B17" s="52" t="str">
        <x:v>$1,500</x:v>
      </x:c>
      <x:c r="C17" s="52" t="str">
        <x:v>$1,500</x:v>
      </x:c>
      <x:c r="D17" s="179" t="str">
        <x:v>PASS</x:v>
      </x:c>
      <x:c r="E17" s="52" t="str">
        <x:v>plan assumptions</x:v>
      </x:c>
      <x:c r="F17" s="52" t="str">
        <x:v>Stored as 150000 cents</x:v>
      </x:c>
    </x:row>
    <x:row r="18" ht="48" customHeight="1">
      <x:c r="A18" s="52" t="str">
        <x:v>Recurring other income</x:v>
      </x:c>
      <x:c r="B18" s="52" t="str">
        <x:v>$0</x:v>
      </x:c>
      <x:c r="C18" s="52" t="str">
        <x:v>$0</x:v>
      </x:c>
      <x:c r="D18" s="179" t="str">
        <x:v>PASS</x:v>
      </x:c>
      <x:c r="E18" s="52" t="str">
        <x:v>plan assumptions</x:v>
      </x:c>
      <x:c r="F18" s="52" t="str">
        <x:v>One assumption row; no extra income</x:v>
      </x:c>
    </x:row>
    <x:row r="19" ht="48" customHeight="1">
      <x:c r="A19" s="52" t="str">
        <x:v>Forecast EBITDA</x:v>
      </x:c>
      <x:c r="B19" s="52" t="str">
        <x:v>+$3,500</x:v>
      </x:c>
      <x:c r="C19" s="52" t="str">
        <x:v>+$3,500 stored/projected</x:v>
      </x:c>
      <x:c r="D19" s="179" t="str">
        <x:v>PASS</x:v>
      </x:c>
      <x:c r="E19" s="52" t="str">
        <x:v>derived from Dataset A</x:v>
      </x:c>
      <x:c r="F19" s="52" t="str">
        <x:v>$11,000 - $2,000 - $3,000 COGS - $1,500 other costs</x:v>
      </x:c>
    </x:row>
    <x:row r="20" ht="48" customHeight="1">
      <x:c r="A20" s="52" t="str">
        <x:v>Dashboard hero</x:v>
      </x:c>
      <x:c r="B20" s="52" t="str">
        <x:v>+$3,500 estimated</x:v>
      </x:c>
      <x:c r="C20" s="52" t="str">
        <x:v>+$3,500</x:v>
      </x:c>
      <x:c r="D20" s="260" t="str">
        <x:v>PASS</x:v>
      </x:c>
      <x:c r="E20" s="52" t="str">
        <x:v>/app?period=this-week</x:v>
      </x:c>
      <x:c r="F20" s="52" t="str">
        <x:v>Fresh Chrome retest uses projectedNet and retains the value after two refreshes</x:v>
      </x:c>
    </x:row>
    <x:row r="21" ht="48" customHeight="1">
      <x:c r="A21" s="52" t="str">
        <x:v>Actual revisions</x:v>
      </x:c>
      <x:c r="B21" s="52" t="str">
        <x:v>0 before daily updates</x:v>
      </x:c>
      <x:c r="C21" s="52" t="str">
        <x:v>0</x:v>
      </x:c>
      <x:c r="D21" s="179" t="str">
        <x:v>PASS</x:v>
      </x:c>
      <x:c r="E21" s="52" t="str">
        <x:v>actual revisions</x:v>
      </x:c>
      <x:c r="F21" s="52" t="str">
        <x:v>No actual data has been entered</x:v>
      </x:c>
    </x:row>
    <x:row r="22" ht="48" customHeight="1">
      <x:c r="A22" s="52" t="str">
        <x:v>Duplicate plan rows</x:v>
      </x:c>
      <x:c r="B22" s="52" t="str">
        <x:v>0 duplicates</x:v>
      </x:c>
      <x:c r="C22" s="52" t="str">
        <x:v>0 duplicates</x:v>
      </x:c>
      <x:c r="D22" s="179" t="str">
        <x:v>PASS</x:v>
      </x:c>
      <x:c r="E22" s="52" t="str">
        <x:v>weekly_plans</x:v>
      </x:c>
      <x:c r="F22" s="52" t="str">
        <x:v>Refresh and read-only Setup navigation did not create records</x:v>
      </x:c>
    </x:row>
    <x:row r="23">
      <x:c r="A23" s="263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B23" s="264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C23" s="264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D23" s="264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E23" s="264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F23" s="265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</x:row>
    <x:row r="24">
      <x:c r="A24" s="266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B24" s="267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C24" s="267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D24" s="267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E24" s="267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F24" s="268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</x:row>
    <x:row r="25">
      <x:c r="A25" s="269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B25" s="270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C25" s="270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D25" s="270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E25" s="270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  <x:c r="F25" s="271" t="str">
        <x:v>Retest note: the database plan was not rewritten during this fix. All Setup checks were read-only; S-12 changed only the authentication session. The existing one-plan / seven-day-row reconciliation therefore remains the persisted source for the corrected dashboard result.</x:v>
      </x:c>
    </x:row>
    <x:row r="27">
      <x:c r="A27" s="277" t="str">
        <x:v>Fresh auth journey</x:v>
      </x:c>
      <x:c r="B27" s="277" t="str">
        <x:v>Expected</x:v>
      </x:c>
      <x:c r="C27" s="277" t="str">
        <x:v>Observed</x:v>
      </x:c>
      <x:c r="D27" s="277" t="str">
        <x:v>Status</x:v>
      </x:c>
      <x:c r="E27" s="277" t="str">
        <x:v>Source</x:v>
      </x:c>
      <x:c r="F27" s="277" t="str">
        <x:v>Notes</x:v>
      </x:c>
    </x:row>
    <x:row r="28">
      <x:c r="A28" s="278" t="str">
        <x:v>S-04 confirmation gate</x:v>
      </x:c>
      <x:c r="B28" s="278" t="str">
        <x:v>Unconfirmed login and /onboarding are blocked</x:v>
      </x:c>
      <x:c r="C28" s="278" t="str">
        <x:v>Email not confirmed; /onboarding returned to login</x:v>
      </x:c>
      <x:c r="D28" s="279" t="str">
        <x:v>PASS</x:v>
      </x:c>
      <x:c r="E28" s="278" t="str">
        <x:v>Chrome + Supabase</x:v>
      </x:c>
      <x:c r="F28" s="278" t="str">
        <x:v>No business data exposed</x:v>
      </x:c>
    </x:row>
    <x:row r="29">
      <x:c r="A29" s="278" t="str">
        <x:v>S-05 email confirmation</x:v>
      </x:c>
      <x:c r="B29" s="278" t="str">
        <x:v>Callback returns to onboarding</x:v>
      </x:c>
      <x:c r="C29" s="278" t="str">
        <x:v>Confirmation opened /onboarding with the test name prefilled</x:v>
      </x:c>
      <x:c r="D29" s="279" t="str">
        <x:v>PASS</x:v>
      </x:c>
      <x:c r="E29" s="278" t="str">
        <x:v>Gmail + Chrome</x:v>
      </x:c>
      <x:c r="F29" s="278" t="str">
        <x:v>Same Little Birdee origin</x:v>
      </x:c>
    </x:row>
    <x:row r="30">
      <x:c r="A30" s="278" t="str">
        <x:v>S-06 tenant skeleton</x:v>
      </x:c>
      <x:c r="B30" s="278" t="str">
        <x:v>One of each bootstrap record</x:v>
      </x:c>
      <x:c r="C30" s="278" t="str">
        <x:v>Profile 1; membership 1; business 1; venue 1; settings 1</x:v>
      </x:c>
      <x:c r="D30" s="279" t="str">
        <x:v>PASS</x:v>
      </x:c>
      <x:c r="E30" s="278" t="str">
        <x:v>Read-only Supabase SQL</x:v>
      </x:c>
      <x:c r="F30" s="278" t="str">
        <x:v>No duplicates</x:v>
      </x:c>
    </x:row>
  </x:sheetData>
  <x:mergeCells>
    <x:mergeCell ref="A1:F2"/>
    <x:mergeCell ref="A3:F3"/>
    <x:mergeCell ref="A23:F25"/>
  </x:mergeCells>
  <x:pageMargins left="0.7" right="0.7" top="0.75" bottom="0.75" header="0.3" footer="0.3"/>
  <x:tableParts count="1">
    <x:tablePart xmlns:r="http://schemas.openxmlformats.org/officeDocument/2006/relationships" r:id="R7686f95e6af84c2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32" hidden="0" customWidth="1"/>
    <x:col min="4" max="4" width="34" hidden="0" customWidth="1"/>
    <x:col min="5" max="5" width="19" hidden="0" customWidth="1"/>
    <x:col min="6" max="6" width="18" hidden="0" customWidth="1"/>
    <x:col min="7" max="7" width="20" hidden="0" customWidth="1"/>
    <x:col min="8" max="8" width="34" hidden="0" customWidth="1"/>
  </x:cols>
  <x:sheetData>
    <x:row r="1" ht="34" customHeight="1">
      <x:c r="A1" s="372" t="str">
        <x:v>Little Birdee - Group 1 complex persistence acceptance</x:v>
      </x:c>
      <x:c r="B1" s="372"/>
      <x:c r="C1" s="372"/>
      <x:c r="D1" s="372"/>
      <x:c r="E1" s="372"/>
      <x:c r="F1" s="372"/>
      <x:c r="G1" s="372"/>
      <x:c r="H1" s="372"/>
    </x:row>
    <x:row r="2" ht="34" customHeight="1">
      <x:c r="A2" s="372"/>
      <x:c r="B2" s="372"/>
      <x:c r="C2" s="372"/>
      <x:c r="D2" s="372"/>
      <x:c r="E2" s="372"/>
      <x:c r="F2" s="372"/>
      <x:c r="G2" s="372"/>
      <x:c r="H2" s="372"/>
    </x:row>
    <x:row r="3">
      <x:c r="A3" s="5" t="str">
        <x:v>Run date</x:v>
      </x:c>
      <x:c r="B3" s="278" t="str">
        <x:v>29 July 2026</x:v>
      </x:c>
      <x:c r="C3" t="str"/>
      <x:c r="D3" s="5" t="str">
        <x:v>Account</x:v>
      </x:c>
      <x:c r="E3" s="278" t="str">
        <x:v>pelonio.ervinnino@gmail.com</x:v>
      </x:c>
      <x:c r="F3" t="str"/>
      <x:c r="G3" s="5" t="str">
        <x:v>Validation</x:v>
      </x:c>
      <x:c r="H3" s="6" t="str">
        <x:v>PASS</x:v>
      </x:c>
    </x:row>
    <x:row r="4">
      <x:c r="A4" s="5" t="str">
        <x:v>Base URL</x:v>
      </x:c>
      <x:c r="B4" s="278" t="str">
        <x:v>http://localhost:3001</x:v>
      </x:c>
      <x:c r="C4" t="str"/>
      <x:c r="D4" s="5" t="str">
        <x:v>Business / venue</x:v>
      </x:c>
      <x:c r="E4" s="278" t="str">
        <x:v>North Star Cafe / Surry Hills</x:v>
      </x:c>
      <x:c r="F4" t="str"/>
      <x:c r="G4" s="5" t="str">
        <x:v>Vitest</x:v>
      </x:c>
      <x:c r="H4" s="6" t="str">
        <x:v>72/72 PASS</x:v>
      </x:c>
    </x:row>
    <x:row r="5">
      <x:c r="A5" s="5" t="str">
        <x:v>Dataset</x:v>
      </x:c>
      <x:c r="B5" s="278" t="str">
        <x:v>A v1 -&gt; A2 v2</x:v>
      </x:c>
      <x:c r="C5" t="str"/>
      <x:c r="D5" s="5" t="str">
        <x:v>Stored state</x:v>
      </x:c>
      <x:c r="E5" s="278" t="str">
        <x:v>2 locked plan versions; 14 day rows</x:v>
      </x:c>
      <x:c r="F5" t="str"/>
      <x:c r="G5" s="5" t="str">
        <x:v>TypeScript</x:v>
      </x:c>
      <x:c r="H5" s="6" t="str">
        <x:v>PASS</x:v>
      </x:c>
    </x:row>
    <x:row r="6">
      <x:c r="A6" s="5" t="str">
        <x:v>Execution</x:v>
      </x:c>
      <x:c r="B6" s="278" t="str">
        <x:v>Authenticated Chrome + read-only Supabase</x:v>
      </x:c>
      <x:c r="C6" t="str"/>
      <x:c r="D6" s="5" t="str">
        <x:v>Product outcome</x:v>
      </x:c>
      <x:c r="E6" s="278" t="str">
        <x:v>+$3,627 from latest version</x:v>
      </x:c>
      <x:c r="F6" t="str"/>
      <x:c r="G6" s="5" t="str">
        <x:v>Production build</x:v>
      </x:c>
      <x:c r="H6" s="6" t="str">
        <x:v>PASS</x:v>
      </x:c>
    </x:row>
    <x:row r="8">
      <x:c r="A8" s="376" t="str">
        <x:v>Batch result</x:v>
      </x:c>
      <x:c r="B8" s="376" t="str">
        <x:v>Count</x:v>
      </x:c>
      <x:c r="D8" s="412" t="str">
        <x:f>IF(B10&gt;0,"STOP - PRODUCT FAILURE FOUND",IF(B11&gt;0,"SAFE CHECKS PASS; ONE QA TOOL STEP BLOCKED","ALL COMPLEX CASES PASS"))</x:f>
        <x:v>SAFE CHECKS PASS; ONE QA TOOL STEP BLOCKED</x:v>
      </x:c>
      <x:c r="E8" s="413"/>
      <x:c r="F8" s="413"/>
      <x:c r="G8" s="413"/>
      <x:c r="H8" s="414"/>
    </x:row>
    <x:row r="9">
      <x:c r="A9" s="378" t="str">
        <x:v>PASS</x:v>
      </x:c>
      <x:c r="B9" s="378" t="n">
        <x:v>4</x:v>
      </x:c>
      <x:c r="D9" s="415"/>
      <x:c r="E9" s="416"/>
      <x:c r="F9" s="416"/>
      <x:c r="G9" s="416"/>
      <x:c r="H9" s="417"/>
    </x:row>
    <x:row r="10">
      <x:c r="A10" s="380" t="str">
        <x:v>FAIL</x:v>
      </x:c>
      <x:c r="B10" s="380" t="n">
        <x:v>0</x:v>
      </x:c>
      <x:c r="D10" s="415"/>
      <x:c r="E10" s="416"/>
      <x:c r="F10" s="416"/>
      <x:c r="G10" s="416"/>
      <x:c r="H10" s="417"/>
    </x:row>
    <x:row r="11">
      <x:c r="A11" s="382" t="str">
        <x:v>BLOCKED / PARTIAL</x:v>
      </x:c>
      <x:c r="B11" s="382" t="n">
        <x:v>1</x:v>
      </x:c>
      <x:c r="D11" s="415"/>
      <x:c r="E11" s="416"/>
      <x:c r="F11" s="416"/>
      <x:c r="G11" s="416"/>
      <x:c r="H11" s="417"/>
    </x:row>
    <x:row r="12">
      <x:c r="A12" s="296" t="str">
        <x:v>TOTAL</x:v>
      </x:c>
      <x:c r="B12" s="296" t="n">
        <x:v>5</x:v>
      </x:c>
      <x:c r="D12" s="418"/>
      <x:c r="E12" s="419"/>
      <x:c r="F12" s="419"/>
      <x:c r="G12" s="419"/>
      <x:c r="H12" s="420"/>
    </x:row>
    <x:row r="15" ht="58" customHeight="1">
      <x:c r="A15" s="376" t="str">
        <x:v>Priority</x:v>
      </x:c>
      <x:c r="B15" s="376" t="str">
        <x:v>Finding</x:v>
      </x:c>
      <x:c r="C15" s="376" t="str">
        <x:v>Before</x:v>
      </x:c>
      <x:c r="D15" s="376" t="str">
        <x:v>Resolution / evidence</x:v>
      </x:c>
      <x:c r="E15" s="376" t="str">
        <x:v>State</x:v>
      </x:c>
      <x:c r="F15" s="376" t="str">
        <x:v>Owner</x:v>
      </x:c>
      <x:c r="G15" s="376" t="str">
        <x:v>Retest gate</x:v>
      </x:c>
      <x:c r="H15" s="376" t="str">
        <x:v>Next action</x:v>
      </x:c>
    </x:row>
    <x:row r="16" ht="58" customHeight="1">
      <x:c r="A16" s="289" t="str">
        <x:v>P1</x:v>
      </x:c>
      <x:c r="B16" s="289" t="str">
        <x:v>Exit Setup route</x:v>
      </x:c>
      <x:c r="C16" s="289" t="str">
        <x:v>Authenticated Setup exited to legacy /home.</x:v>
      </x:c>
      <x:c r="D16" s="289" t="str">
        <x:v>All authenticated Setup exits now route to /app?period=this-week; C-01 browser retest passed.</x:v>
      </x:c>
      <x:c r="E16" s="421" t="str">
        <x:v>Resolved</x:v>
      </x:c>
      <x:c r="F16" s="289" t="str">
        <x:v>Frontend</x:v>
      </x:c>
      <x:c r="G16" s="289" t="str">
        <x:v>C-01 PASS</x:v>
      </x:c>
      <x:c r="H16" s="289" t="str">
        <x:v>Retain route regression coverage.</x:v>
      </x:c>
    </x:row>
    <x:row r="17" ht="58" customHeight="1">
      <x:c r="A17" s="289" t="str">
        <x:v>P1</x:v>
      </x:c>
      <x:c r="B17" s="289" t="str">
        <x:v>Demo values flash before server plan</x:v>
      </x:c>
      <x:c r="C17" s="289" t="str">
        <x:v>Setup briefly exposed $20,000 demo defaults before version 2 loaded.</x:v>
      </x:c>
      <x:c r="D17" s="289" t="str">
        <x:v>Setup now displays a neutral loading status until venue-state resolution, then restores $11,200 / $2,000 / 30% / $1,500.</x:v>
      </x:c>
      <x:c r="E17" s="421" t="str">
        <x:v>Resolved</x:v>
      </x:c>
      <x:c r="F17" s="289" t="str">
        <x:v>Frontend</x:v>
      </x:c>
      <x:c r="G17" s="289" t="str">
        <x:v>C-05 safe rerun PASS</x:v>
      </x:c>
      <x:c r="H17" s="289" t="str">
        <x:v>Keep loading-state coverage.</x:v>
      </x:c>
    </x:row>
    <x:row r="18" ht="58" customHeight="1">
      <x:c r="A18" s="289" t="str">
        <x:v>QA</x:v>
      </x:c>
      <x:c r="B18" s="289" t="str">
        <x:v>Direct Local Storage clear</x:v>
      </x:c>
      <x:c r="C18" s="289" t="str">
        <x:v>C-05 calls for clearing only app Local Storage.</x:v>
      </x:c>
      <x:c r="D18" s="289" t="str">
        <x:v>Chrome connector security policy rejected the operation. No bypass was attempted; server restore, latest values and unchanged DB version count were still verified.</x:v>
      </x:c>
      <x:c r="E18" s="422" t="str">
        <x:v>Blocked / partial</x:v>
      </x:c>
      <x:c r="F18" s="289" t="str">
        <x:v>QA tooling</x:v>
      </x:c>
      <x:c r="G18" s="289" t="str">
        <x:v>Manual tester</x:v>
      </x:c>
      <x:c r="H18" s="289" t="str">
        <x:v>Run the single remaining step manually in Chrome DevTools, then reload Setup.</x:v>
      </x:c>
    </x:row>
    <x:row r="21">
      <x:c r="A21" s="443" t="str">
        <x:v>Conclusion: C-01 through C-04 pass. C-05's non-destructive browser and database checks also pass: Setup no longer flashes demo numbers, version 2 restores correctly, the dashboard remains +$3,627, and exiting without saving leaves plan_count=2 and max_version=2. Only the connector-blocked Local Storage clear action remains for a manual tester.</x:v>
      </x:c>
      <x:c r="B21" s="444"/>
      <x:c r="C21" s="444"/>
      <x:c r="D21" s="444"/>
      <x:c r="E21" s="444"/>
      <x:c r="F21" s="444"/>
      <x:c r="G21" s="444"/>
      <x:c r="H21" s="445"/>
    </x:row>
    <x:row r="22">
      <x:c r="A22" s="446"/>
      <x:c r="B22" s="447"/>
      <x:c r="C22" s="447"/>
      <x:c r="D22" s="447"/>
      <x:c r="E22" s="447"/>
      <x:c r="F22" s="447"/>
      <x:c r="G22" s="447"/>
      <x:c r="H22" s="448"/>
    </x:row>
    <x:row r="23">
      <x:c r="A23" s="446"/>
      <x:c r="B23" s="447"/>
      <x:c r="C23" s="447"/>
      <x:c r="D23" s="447"/>
      <x:c r="E23" s="447"/>
      <x:c r="F23" s="447"/>
      <x:c r="G23" s="447"/>
      <x:c r="H23" s="448"/>
    </x:row>
    <x:row r="24">
      <x:c r="A24" s="449"/>
      <x:c r="B24" s="450"/>
      <x:c r="C24" s="450"/>
      <x:c r="D24" s="450"/>
      <x:c r="E24" s="450"/>
      <x:c r="F24" s="450"/>
      <x:c r="G24" s="450"/>
      <x:c r="H24" s="451"/>
    </x:row>
  </x:sheetData>
  <x:mergeCells>
    <x:mergeCell ref="A1:H2"/>
    <x:mergeCell ref="D8:H12"/>
    <x:mergeCell ref="A21:H2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11" hidden="0" customWidth="1"/>
    <x:col min="5" max="5" width="18" hidden="0" customWidth="1"/>
    <x:col min="6" max="6" width="24" hidden="0" customWidth="1"/>
    <x:col min="7" max="7" width="34" hidden="0" customWidth="1"/>
    <x:col min="8" max="8" width="42" hidden="0" customWidth="1"/>
    <x:col min="9" max="9" width="40" hidden="0" customWidth="1"/>
    <x:col min="10" max="10" width="44" hidden="0" customWidth="1"/>
    <x:col min="11" max="11" width="26" hidden="0" customWidth="1"/>
    <x:col min="12" max="12" width="44" hidden="0" customWidth="1"/>
    <x:col min="13" max="13" width="36" hidden="0" customWidth="1"/>
    <x:col min="14" max="14" width="22" hidden="0" customWidth="1"/>
    <x:col min="15" max="15" width="36" hidden="0" customWidth="1"/>
  </x:cols>
  <x:sheetData>
    <x:row r="1" ht="34" customHeight="1">
      <x:c r="A1" s="372" t="str">
        <x:v>Complex cases C-01 to C-05</x:v>
      </x:c>
      <x:c r="B1" s="372"/>
      <x:c r="C1" s="372"/>
      <x:c r="D1" s="372"/>
      <x:c r="E1" s="372"/>
      <x:c r="F1" s="372"/>
      <x:c r="G1" s="372"/>
      <x:c r="H1" s="372"/>
      <x:c r="I1" s="372"/>
      <x:c r="J1" s="372"/>
      <x:c r="K1" s="372"/>
      <x:c r="L1" s="372"/>
      <x:c r="M1" s="372"/>
      <x:c r="N1" s="372"/>
      <x:c r="O1" s="372"/>
    </x:row>
    <x:row r="2" ht="34" customHeight="1">
      <x:c r="A2" s="372"/>
      <x:c r="B2" s="372"/>
      <x:c r="C2" s="372"/>
      <x:c r="D2" s="372"/>
      <x:c r="E2" s="372"/>
      <x:c r="F2" s="372"/>
      <x:c r="G2" s="372"/>
      <x:c r="H2" s="372"/>
      <x:c r="I2" s="372"/>
      <x:c r="J2" s="372"/>
      <x:c r="K2" s="372"/>
      <x:c r="L2" s="372"/>
      <x:c r="M2" s="372"/>
      <x:c r="N2" s="372"/>
      <x:c r="O2" s="372"/>
    </x:row>
    <x:row r="3">
      <x:c r="A3" s="455" t="str">
        <x:v>PASS/FAIL/BLOCKED describe the complete written case. C-05 is partial only because the Chrome connector prohibits clearing site Local Storage; its safe UI and database assertions passed.</x:v>
      </x:c>
      <x:c r="B3" s="455"/>
      <x:c r="C3" s="455"/>
      <x:c r="D3" s="455"/>
      <x:c r="E3" s="455"/>
      <x:c r="F3" s="455"/>
      <x:c r="G3" s="455"/>
      <x:c r="H3" s="455"/>
      <x:c r="I3" s="455"/>
      <x:c r="J3" s="455"/>
      <x:c r="K3" s="455"/>
      <x:c r="L3" s="455"/>
      <x:c r="M3" s="455"/>
      <x:c r="N3" s="455"/>
      <x:c r="O3" s="455"/>
    </x:row>
    <x:row r="5" ht="74" customHeight="1">
      <x:c r="A5" s="376" t="str">
        <x:v>ID</x:v>
      </x:c>
      <x:c r="B5" s="376" t="str">
        <x:v>Scenario</x:v>
      </x:c>
      <x:c r="C5" s="376" t="str">
        <x:v>Type</x:v>
      </x:c>
      <x:c r="D5" s="376" t="str">
        <x:v>Priority</x:v>
      </x:c>
      <x:c r="E5" s="376" t="str">
        <x:v>Status</x:v>
      </x:c>
      <x:c r="F5" s="376" t="str">
        <x:v>Environment</x:v>
      </x:c>
      <x:c r="G5" s="376" t="str">
        <x:v>Preconditions / data</x:v>
      </x:c>
      <x:c r="H5" s="376" t="str">
        <x:v>Actions exercised</x:v>
      </x:c>
      <x:c r="I5" s="376" t="str">
        <x:v>Expected</x:v>
      </x:c>
      <x:c r="J5" s="376" t="str">
        <x:v>Observed</x:v>
      </x:c>
      <x:c r="K5" s="376" t="str">
        <x:v>UI evidence</x:v>
      </x:c>
      <x:c r="L5" s="376" t="str">
        <x:v>Database evidence</x:v>
      </x:c>
      <x:c r="M5" s="376" t="str">
        <x:v>Defect / blocker</x:v>
      </x:c>
      <x:c r="N5" s="376" t="str">
        <x:v>Retest</x:v>
      </x:c>
      <x:c r="O5" s="376" t="str">
        <x:v>Notes</x:v>
      </x:c>
    </x:row>
    <x:row r="6" ht="74" customHeight="1">
      <x:c r="A6" s="289" t="str">
        <x:v>C-01</x:v>
      </x:c>
      <x:c r="B6" s="289" t="str">
        <x:v>Leave Setup without final save</x:v>
      </x:c>
      <x:c r="C6" s="289" t="str">
        <x:v>Complex</x:v>
      </x:c>
      <x:c r="D6" s="289" t="str">
        <x:v>P1</x:v>
      </x:c>
      <x:c r="E6" s="421" t="str">
        <x:v>PASS</x:v>
      </x:c>
      <x:c r="F6" s="289" t="str">
        <x:v>Authenticated Chrome + Supabase</x:v>
      </x:c>
      <x:c r="G6" s="289" t="str">
        <x:v>North Star Café version 1; Dataset A</x:v>
      </x:c>
      <x:c r="H6" s="289" t="str">
        <x:v>Opened Setup, traversed steps, returned, exited without See my profit.</x:v>
      </x:c>
      <x:c r="I6" s="289" t="str">
        <x:v>No plan version is created and authenticated exit returns to the dashboard.</x:v>
      </x:c>
      <x:c r="J6" s="289" t="str">
        <x:v>Dashboard remained +$3,500; Exit setup opened /app?period=this-week.</x:v>
      </x:c>
      <x:c r="K6" s="289" t="str">
        <x:v>Setup and dashboard DOM.</x:v>
      </x:c>
      <x:c r="L6" s="289" t="str">
        <x:v>Before and after: plan_count=1; max_version=1.</x:v>
      </x:c>
      <x:c r="M6" s="289" t="str">
        <x:v>Found legacy /home exit route.</x:v>
      </x:c>
      <x:c r="N6" s="289" t="str">
        <x:v>PASS after route fix</x:v>
      </x:c>
      <x:c r="O6" s="289" t="str">
        <x:v>No final save was triggered.</x:v>
      </x:c>
    </x:row>
    <x:row r="7" ht="74" customHeight="1">
      <x:c r="A7" s="289" t="str">
        <x:v>C-02</x:v>
      </x:c>
      <x:c r="B7" s="289" t="str">
        <x:v>Save a changed plan as version 2</x:v>
      </x:c>
      <x:c r="C7" s="289" t="str">
        <x:v>Complex</x:v>
      </x:c>
      <x:c r="D7" s="289" t="str">
        <x:v>P0</x:v>
      </x:c>
      <x:c r="E7" s="421" t="str">
        <x:v>PASS</x:v>
      </x:c>
      <x:c r="F7" s="289" t="str">
        <x:v>Authenticated Chrome + Supabase</x:v>
      </x:c>
      <x:c r="G7" s="289" t="str">
        <x:v>Dataset A; Monday changes from $1,000 to $1,200</x:v>
      </x:c>
      <x:c r="H7" s="289" t="str">
        <x:v>Edited Monday only, kept wages $2,000, COGS 30%, other costs $1,500, then saved.</x:v>
      </x:c>
      <x:c r="I7" s="289" t="str">
        <x:v>A new locked version supersedes v1 and the dashboard recalculates.</x:v>
      </x:c>
      <x:c r="J7" s="289" t="str">
        <x:v>Week total became $11,200; dashboard showed +$3,627.</x:v>
      </x:c>
      <x:c r="K7" s="289" t="str">
        <x:v>Setup and dashboard DOM.</x:v>
      </x:c>
      <x:c r="L7" s="289" t="str">
        <x:v>v2 id 98a403a5...; total 1,120,000 cents; Monday 120,000; supersedes v1.</x:v>
      </x:c>
      <x:c r="M7" s="289" t="str">
        <x:v>None.</x:v>
      </x:c>
      <x:c r="N7" s="289" t="str">
        <x:v>PASS</x:v>
      </x:c>
      <x:c r="O7" s="289" t="str">
        <x:v>GST remains registered / fully taxable with GST-inclusive entry.</x:v>
      </x:c>
    </x:row>
    <x:row r="8" ht="74" customHeight="1">
      <x:c r="A8" s="289" t="str">
        <x:v>C-03</x:v>
      </x:c>
      <x:c r="B8" s="289" t="str">
        <x:v>Locked-plan immutability</x:v>
      </x:c>
      <x:c r="C8" s="289" t="str">
        <x:v>Complex</x:v>
      </x:c>
      <x:c r="D8" s="289" t="str">
        <x:v>P0</x:v>
      </x:c>
      <x:c r="E8" s="421" t="str">
        <x:v>PASS</x:v>
      </x:c>
      <x:c r="F8" s="289" t="str">
        <x:v>Read-only Supabase inspection</x:v>
      </x:c>
      <x:c r="G8" s="289" t="str">
        <x:v>Locked versions 1 and 2</x:v>
      </x:c>
      <x:c r="H8" s="289" t="str">
        <x:v>Compared v1 before and after v2; inspected live guard triggers and functions.</x:v>
      </x:c>
      <x:c r="I8" s="289" t="str">
        <x:v>Earlier locked plans and assumptions cannot be changed in place.</x:v>
      </x:c>
      <x:c r="J8" s="289" t="str">
        <x:v>v1 values stayed unchanged; v2 used a new ID and supersedes v1.</x:v>
      </x:c>
      <x:c r="K8" s="289" t="str">
        <x:v>N/A</x:v>
      </x:c>
      <x:c r="L8" s="289" t="str">
        <x:v>Guard functions raise locked-plan, locked-allocation and immutable-assumption errors.</x:v>
      </x:c>
      <x:c r="M8" s="289" t="str">
        <x:v>None.</x:v>
      </x:c>
      <x:c r="N8" s="289" t="str">
        <x:v>PASS</x:v>
      </x:c>
      <x:c r="O8" s="289" t="str">
        <x:v>No privileged destructive mutation was attempted.</x:v>
      </x:c>
    </x:row>
    <x:row r="9" ht="74" customHeight="1">
      <x:c r="A9" s="289" t="str">
        <x:v>C-04</x:v>
      </x:c>
      <x:c r="B9" s="289" t="str">
        <x:v>Persisted graph and audit reconciliation</x:v>
      </x:c>
      <x:c r="C9" s="289" t="str">
        <x:v>Complex</x:v>
      </x:c>
      <x:c r="D9" s="289" t="str">
        <x:v>P0</x:v>
      </x:c>
      <x:c r="E9" s="421" t="str">
        <x:v>PASS</x:v>
      </x:c>
      <x:c r="F9" s="289" t="str">
        <x:v>Read-only Supabase inspection</x:v>
      </x:c>
      <x:c r="G9" s="289" t="str">
        <x:v>Version 2 saved from Dataset A2</x:v>
      </x:c>
      <x:c r="H9" s="289" t="str">
        <x:v>Reconciled plan header, seven day rows, four financial assumptions and audit entries.</x:v>
      </x:c>
      <x:c r="I9" s="289" t="str">
        <x:v>Stored child rows sum to the weekly total and all assumptions remain versioned.</x:v>
      </x:c>
      <x:c r="J9" s="289" t="str">
        <x:v>UI matched the stored $11,200 / $2,000 / 30% / $1,500 inputs.</x:v>
      </x:c>
      <x:c r="K9" s="289" t="str">
        <x:v>Setup DOM.</x:v>
      </x:c>
      <x:c r="L9" s="289" t="str">
        <x:v>7 ordered day rows sum to 1,120,000 cents; four assumptions retained per version; audit events present.</x:v>
      </x:c>
      <x:c r="M9" s="289" t="str">
        <x:v>None.</x:v>
      </x:c>
      <x:c r="N9" s="289" t="str">
        <x:v>PASS</x:v>
      </x:c>
      <x:c r="O9" s="289" t="str">
        <x:v>Venue setting update is included in audit evidence.</x:v>
      </x:c>
    </x:row>
    <x:row r="10" ht="74" customHeight="1">
      <x:c r="A10" s="289" t="str">
        <x:v>C-05</x:v>
      </x:c>
      <x:c r="B10" s="289" t="str">
        <x:v>Latest server version after local reset</x:v>
      </x:c>
      <x:c r="C10" s="289" t="str">
        <x:v>Complex / edge</x:v>
      </x:c>
      <x:c r="D10" s="289" t="str">
        <x:v>P1</x:v>
      </x:c>
      <x:c r="E10" s="422" t="str">
        <x:v>BLOCKED / PARTIAL</x:v>
      </x:c>
      <x:c r="F10" s="289" t="str">
        <x:v>Authenticated Chrome + Supabase</x:v>
      </x:c>
      <x:c r="G10" s="289" t="str">
        <x:v>Version 2 is authoritative; expected dashboard +$3,627</x:v>
      </x:c>
      <x:c r="H10" s="289" t="str">
        <x:v>Reloaded Setup, verified neutral loading and version 2 restore, traversed all steps, exited without save, rechecked DB.</x:v>
      </x:c>
      <x:c r="I10" s="289" t="str">
        <x:v>Clearing only Local Storage then reloading restores v2 with no duplicate version.</x:v>
      </x:c>
      <x:c r="J10" s="289" t="str">
        <x:v>Safe portion passed: $11,200 / $2,000 / 30% / $1,500 restored; dashboard +$3,627.</x:v>
      </x:c>
      <x:c r="K10" s="289" t="str">
        <x:v>Loading, Setup and dashboard DOM.</x:v>
      </x:c>
      <x:c r="L10" s="289" t="str">
        <x:v>After exit: plan_count=2; max_version=2; v2 total 1,120,000 cents.</x:v>
      </x:c>
      <x:c r="M10" s="289" t="str">
        <x:v>Chrome security policy blocked direct Local Storage clear.</x:v>
      </x:c>
      <x:c r="N10" s="289" t="str">
        <x:v>Safe portion PASS</x:v>
      </x:c>
      <x:c r="O10" s="289" t="str">
        <x:v>Manual DevTools clear remains the only missing action.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32" hidden="0" customWidth="1"/>
    <x:col min="4" max="4" width="48" hidden="0" customWidth="1"/>
    <x:col min="5" max="5" width="13" hidden="0" customWidth="1"/>
    <x:col min="6" max="6" width="30" hidden="0" customWidth="1"/>
    <x:col min="7" max="7" width="46" hidden="0" customWidth="1"/>
    <x:col min="8" max="8" width="36" hidden="0" customWidth="1"/>
  </x:cols>
  <x:sheetData>
    <x:row r="1" ht="34" customHeight="1">
      <x:c r="A1" s="372" t="str">
        <x:v>Complex persistence evidence</x:v>
      </x:c>
      <x:c r="B1" s="372"/>
      <x:c r="C1" s="372"/>
      <x:c r="D1" s="372"/>
      <x:c r="E1" s="372"/>
      <x:c r="F1" s="372"/>
      <x:c r="G1" s="372"/>
      <x:c r="H1" s="372"/>
    </x:row>
    <x:row r="2" ht="34" customHeight="1">
      <x:c r="A2" s="372"/>
      <x:c r="B2" s="372"/>
      <x:c r="C2" s="372"/>
      <x:c r="D2" s="372"/>
      <x:c r="E2" s="372"/>
      <x:c r="F2" s="372"/>
      <x:c r="G2" s="372"/>
      <x:c r="H2" s="372"/>
    </x:row>
    <x:row r="4" ht="54" customHeight="1">
      <x:c r="A4" s="376" t="str">
        <x:v>Evidence group</x:v>
      </x:c>
      <x:c r="B4" s="376" t="str">
        <x:v>Record</x:v>
      </x:c>
      <x:c r="C4" s="376" t="str">
        <x:v>Expected</x:v>
      </x:c>
      <x:c r="D4" s="376" t="str">
        <x:v>Observed</x:v>
      </x:c>
      <x:c r="E4" s="376" t="str">
        <x:v>Status</x:v>
      </x:c>
      <x:c r="F4" s="376" t="str">
        <x:v>Source</x:v>
      </x:c>
      <x:c r="G4" s="376" t="str">
        <x:v>Identifier</x:v>
      </x:c>
      <x:c r="H4" s="376" t="str">
        <x:v>Notes</x:v>
      </x:c>
    </x:row>
    <x:row r="5" ht="54" customHeight="1">
      <x:c r="A5" s="289" t="str">
        <x:v>Version chain</x:v>
      </x:c>
      <x:c r="B5" s="289" t="str">
        <x:v>Version 1</x:v>
      </x:c>
      <x:c r="C5" s="289" t="str">
        <x:v>Locked baseline</x:v>
      </x:c>
      <x:c r="D5" s="289" t="str">
        <x:v>1,100,000 cents; Monday 100,000; locked</x:v>
      </x:c>
      <x:c r="E5" s="421" t="str">
        <x:v>PASS</x:v>
      </x:c>
      <x:c r="F5" s="289" t="str">
        <x:v>weekly_plans + days</x:v>
      </x:c>
      <x:c r="G5" s="289" t="str">
        <x:v>b37f86f0-4a31-405e-a857-e15e032dc7fe</x:v>
      </x:c>
      <x:c r="H5" s="289" t="str">
        <x:v>supersedes_plan_id is null</x:v>
      </x:c>
    </x:row>
    <x:row r="6" ht="54" customHeight="1">
      <x:c r="A6" s="289" t="str">
        <x:v>Version chain</x:v>
      </x:c>
      <x:c r="B6" s="289" t="str">
        <x:v>Version 2</x:v>
      </x:c>
      <x:c r="C6" s="289" t="str">
        <x:v>New locked version</x:v>
      </x:c>
      <x:c r="D6" s="289" t="str">
        <x:v>1,120,000 cents; Monday 120,000; locked</x:v>
      </x:c>
      <x:c r="E6" s="421" t="str">
        <x:v>PASS</x:v>
      </x:c>
      <x:c r="F6" s="289" t="str">
        <x:v>weekly_plans + days</x:v>
      </x:c>
      <x:c r="G6" s="289" t="str">
        <x:v>98a403a5-245d-47c1-b0c8-009da1278fab</x:v>
      </x:c>
      <x:c r="H6" s="289" t="str">
        <x:v>supersedes version 1</x:v>
      </x:c>
    </x:row>
    <x:row r="7" ht="54" customHeight="1">
      <x:c r="A7" s="289" t="str">
        <x:v>Day allocation</x:v>
      </x:c>
      <x:c r="B7" s="289" t="str">
        <x:v>Version 2</x:v>
      </x:c>
      <x:c r="C7" s="289" t="str">
        <x:v>7 rows total 1,120,000</x:v>
      </x:c>
      <x:c r="D7" s="289" t="str">
        <x:v>120000, 100000, 100000, 100000, 200000, 300000, 200000</x:v>
      </x:c>
      <x:c r="E7" s="421" t="str">
        <x:v>PASS</x:v>
      </x:c>
      <x:c r="F7" s="289" t="str">
        <x:v>weekly_plan_days</x:v>
      </x:c>
      <x:c r="G7" s="289" t="str">
        <x:v>version 2</x:v>
      </x:c>
      <x:c r="H7" s="289" t="str">
        <x:v>Ordered Monday through Sunday</x:v>
      </x:c>
    </x:row>
    <x:row r="8" ht="54" customHeight="1">
      <x:c r="A8" s="289" t="str">
        <x:v>Assumption</x:v>
      </x:c>
      <x:c r="B8" s="289" t="str">
        <x:v>COGS rate</x:v>
      </x:c>
      <x:c r="C8" s="289" t="str">
        <x:v>30%</x:v>
      </x:c>
      <x:c r="D8" s="289" t="str">
        <x:v>3000 basis points in v1 and v2</x:v>
      </x:c>
      <x:c r="E8" s="421" t="str">
        <x:v>PASS</x:v>
      </x:c>
      <x:c r="F8" s="289" t="str">
        <x:v>financial_assumptions</x:v>
      </x:c>
      <x:c r="G8" s="289" t="str">
        <x:v>cogs-rate</x:v>
      </x:c>
      <x:c r="H8" s="289" t="str">
        <x:v>Versioned, not overwritten</x:v>
      </x:c>
    </x:row>
    <x:row r="9" ht="54" customHeight="1">
      <x:c r="A9" s="289" t="str">
        <x:v>Assumption</x:v>
      </x:c>
      <x:c r="B9" s="289" t="str">
        <x:v>Weekly labour</x:v>
      </x:c>
      <x:c r="C9" s="289" t="str">
        <x:v>$2,000</x:v>
      </x:c>
      <x:c r="D9" s="289" t="str">
        <x:v>200000 cents in v1 and v2</x:v>
      </x:c>
      <x:c r="E9" s="421" t="str">
        <x:v>PASS</x:v>
      </x:c>
      <x:c r="F9" s="289" t="str">
        <x:v>financial_assumptions</x:v>
      </x:c>
      <x:c r="G9" s="289" t="str">
        <x:v>weekly-labour</x:v>
      </x:c>
      <x:c r="H9" s="289" t="str">
        <x:v>Versioned, not overwritten</x:v>
      </x:c>
    </x:row>
    <x:row r="10" ht="54" customHeight="1">
      <x:c r="A10" s="289" t="str">
        <x:v>Assumption</x:v>
      </x:c>
      <x:c r="B10" s="289" t="str">
        <x:v>Other operating costs</x:v>
      </x:c>
      <x:c r="C10" s="289" t="str">
        <x:v>$1,500</x:v>
      </x:c>
      <x:c r="D10" s="289" t="str">
        <x:v>150000 cents in v1 and v2</x:v>
      </x:c>
      <x:c r="E10" s="421" t="str">
        <x:v>PASS</x:v>
      </x:c>
      <x:c r="F10" s="289" t="str">
        <x:v>financial_assumptions</x:v>
      </x:c>
      <x:c r="G10" s="289" t="str">
        <x:v>weekly-other-operating-costs</x:v>
      </x:c>
      <x:c r="H10" s="289" t="str">
        <x:v>Versioned, not overwritten</x:v>
      </x:c>
    </x:row>
    <x:row r="11" ht="54" customHeight="1">
      <x:c r="A11" s="289" t="str">
        <x:v>Assumption</x:v>
      </x:c>
      <x:c r="B11" s="289" t="str">
        <x:v>Recurring operating income</x:v>
      </x:c>
      <x:c r="C11" s="289" t="str">
        <x:v>$0</x:v>
      </x:c>
      <x:c r="D11" s="289" t="str">
        <x:v>0 cents in v1 and v2</x:v>
      </x:c>
      <x:c r="E11" s="421" t="str">
        <x:v>PASS</x:v>
      </x:c>
      <x:c r="F11" s="289" t="str">
        <x:v>financial_assumptions</x:v>
      </x:c>
      <x:c r="G11" s="289" t="str">
        <x:v>weekly-recurring-operating-income</x:v>
      </x:c>
      <x:c r="H11" s="289" t="str">
        <x:v>Versioned, not overwritten</x:v>
      </x:c>
    </x:row>
    <x:row r="12" ht="54" customHeight="1">
      <x:c r="A12" s="289" t="str">
        <x:v>Financial policy</x:v>
      </x:c>
      <x:c r="B12" s="289" t="str">
        <x:v>GST</x:v>
      </x:c>
      <x:c r="C12" s="289" t="str">
        <x:v>Registered and GST-inclusive</x:v>
      </x:c>
      <x:c r="D12" s="289" t="str">
        <x:v>registered-fully-taxable / gst-inclusive</x:v>
      </x:c>
      <x:c r="E12" s="421" t="str">
        <x:v>PASS</x:v>
      </x:c>
      <x:c r="F12" s="289" t="str">
        <x:v>weekly_plans</x:v>
      </x:c>
      <x:c r="G12" s="289" t="str">
        <x:v>versions 1 and 2</x:v>
      </x:c>
      <x:c r="H12" s="289" t="str">
        <x:v>COGS applied to GST-exclusive revenue</x:v>
      </x:c>
    </x:row>
    <x:row r="13" ht="54" customHeight="1">
      <x:c r="A13" s="289" t="str">
        <x:v>Immutability</x:v>
      </x:c>
      <x:c r="B13" s="289" t="str">
        <x:v>Plan guard</x:v>
      </x:c>
      <x:c r="C13" s="289" t="str">
        <x:v>Locked plan cannot update/delete</x:v>
      </x:c>
      <x:c r="D13" s="289" t="str">
        <x:v>private.guard_weekly_plan raises an exception</x:v>
      </x:c>
      <x:c r="E13" s="421" t="str">
        <x:v>PASS</x:v>
      </x:c>
      <x:c r="F13" s="289" t="str">
        <x:v>live trigger/function definition</x:v>
      </x:c>
      <x:c r="G13" s="289" t="str">
        <x:v>weekly_plans_guard</x:v>
      </x:c>
      <x:c r="H13" s="289" t="str">
        <x:v>Read-only inspection</x:v>
      </x:c>
    </x:row>
    <x:row r="14" ht="54" customHeight="1">
      <x:c r="A14" s="289" t="str">
        <x:v>Immutability</x:v>
      </x:c>
      <x:c r="B14" s="289" t="str">
        <x:v>Day guard</x:v>
      </x:c>
      <x:c r="C14" s="289" t="str">
        <x:v>Locked allocations cannot mutate</x:v>
      </x:c>
      <x:c r="D14" s="289" t="str">
        <x:v>private.guard_weekly_plan_day raises an exception</x:v>
      </x:c>
      <x:c r="E14" s="421" t="str">
        <x:v>PASS</x:v>
      </x:c>
      <x:c r="F14" s="289" t="str">
        <x:v>live trigger/function definition</x:v>
      </x:c>
      <x:c r="G14" s="289" t="str">
        <x:v>weekly_plan_days_guard</x:v>
      </x:c>
      <x:c r="H14" s="289" t="str">
        <x:v>Read-only inspection</x:v>
      </x:c>
    </x:row>
    <x:row r="15" ht="54" customHeight="1">
      <x:c r="A15" s="289" t="str">
        <x:v>Immutability</x:v>
      </x:c>
      <x:c r="B15" s="289" t="str">
        <x:v>Assumption guard</x:v>
      </x:c>
      <x:c r="C15" s="289" t="str">
        <x:v>Versioned assumptions cannot mutate</x:v>
      </x:c>
      <x:c r="D15" s="289" t="str">
        <x:v>financial_assumptions_immutable is active</x:v>
      </x:c>
      <x:c r="E15" s="421" t="str">
        <x:v>PASS</x:v>
      </x:c>
      <x:c r="F15" s="289" t="str">
        <x:v>live trigger/function definition</x:v>
      </x:c>
      <x:c r="G15" s="289" t="str">
        <x:v>financial_assumptions_immutable</x:v>
      </x:c>
      <x:c r="H15" s="289" t="str">
        <x:v>Read-only inspection</x:v>
      </x:c>
    </x:row>
    <x:row r="16" ht="54" customHeight="1">
      <x:c r="A16" s="289" t="str">
        <x:v>C-05 final state</x:v>
      </x:c>
      <x:c r="B16" s="289" t="str">
        <x:v>No extra save</x:v>
      </x:c>
      <x:c r="C16" s="289" t="str">
        <x:v>plan_count=2; max_version=2</x:v>
      </x:c>
      <x:c r="D16" s="289" t="str">
        <x:v>plan_count=2; max_version=2; v2 total 1,120,000 cents</x:v>
      </x:c>
      <x:c r="E16" s="421" t="str">
        <x:v>PASS</x:v>
      </x:c>
      <x:c r="F16" s="289" t="str">
        <x:v>read-only SQL after browser exit</x:v>
      </x:c>
      <x:c r="G16" s="289" t="str">
        <x:v>venue 9243d650-e194-4bfa-b283-1e8bdad9501f</x:v>
      </x:c>
      <x:c r="H16" s="289" t="str">
        <x:v>Dashboard remains +$3,627</x:v>
      </x:c>
    </x:row>
    <x:row r="19">
      <x:c r="A19" s="443" t="str">
        <x:v>Scope note: all database checks were read-only. The only writes in this batch came from the normal authenticated Setup save used by C-02. C-03 verified immutability through unchanged records plus the live trigger/function contract, avoiding a privileged mutation that could damage the fixture.</x:v>
      </x:c>
      <x:c r="B19" s="444"/>
      <x:c r="C19" s="444"/>
      <x:c r="D19" s="444"/>
      <x:c r="E19" s="444"/>
      <x:c r="F19" s="444"/>
      <x:c r="G19" s="444"/>
      <x:c r="H19" s="445"/>
    </x:row>
    <x:row r="20">
      <x:c r="A20" s="446"/>
      <x:c r="B20" s="447"/>
      <x:c r="C20" s="447"/>
      <x:c r="D20" s="447"/>
      <x:c r="E20" s="447"/>
      <x:c r="F20" s="447"/>
      <x:c r="G20" s="447"/>
      <x:c r="H20" s="448"/>
    </x:row>
    <x:row r="21">
      <x:c r="A21" s="446"/>
      <x:c r="B21" s="447"/>
      <x:c r="C21" s="447"/>
      <x:c r="D21" s="447"/>
      <x:c r="E21" s="447"/>
      <x:c r="F21" s="447"/>
      <x:c r="G21" s="447"/>
      <x:c r="H21" s="448"/>
    </x:row>
    <x:row r="22">
      <x:c r="A22" s="449"/>
      <x:c r="B22" s="450"/>
      <x:c r="C22" s="450"/>
      <x:c r="D22" s="450"/>
      <x:c r="E22" s="450"/>
      <x:c r="F22" s="450"/>
      <x:c r="G22" s="450"/>
      <x:c r="H22" s="451"/>
    </x:row>
  </x:sheetData>
  <x:mergeCells>
    <x:mergeCell ref="A1:H2"/>
    <x:mergeCell ref="A19:H22"/>
  </x:mergeCells>
  <x:pageMargins left="0.7" right="0.7" top="0.75" bottom="0.75" header="0.3" footer="0.3"/>
</x:worksheet>
</file>